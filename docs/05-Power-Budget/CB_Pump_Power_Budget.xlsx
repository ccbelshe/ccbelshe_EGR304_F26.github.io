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4f1c23b07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e12f83860fb14eb7"/>
  </x:sheets>
</x:workbook>
</file>

<file path=xl/comments1.xml><?xml version="1.0" encoding="utf-8"?>
<x:comments xmlns:x="http://schemas.openxmlformats.org/spreadsheetml/2006/main">
  <x:authors>
    <x:author/>
  </x:authors>
  <x:commentList>
    <x:comment ref="F8" authorId="0">
      <x:text>
        <x:r>
          <x:t>For inductive loads (e.g., motors, solenoids) this is often called "stall current" on the data sheet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0.000"/>
  </x:numFmts>
  <x:fonts count="10">
    <x:font>
      <x:sz val="12"/>
      <x:color rgb="FF000000"/>
      <x:name val="Calibri"/>
    </x:font>
    <x:font>
      <x:b/>
      <x:sz val="24"/>
      <x:color rgb="FF000000"/>
      <x:name val="Calibri"/>
      <x:family val="2"/>
    </x:font>
    <x:font>
      <x:sz val="12"/>
      <x:color rgb="FF000000"/>
      <x:name val="Calibri"/>
      <x:family val="2"/>
    </x:font>
    <x:font>
      <x:b/>
      <x:sz val="12"/>
      <x:color rgb="FF000000"/>
      <x:name val="Calibri"/>
      <x:family val="2"/>
    </x:font>
    <x:font>
      <x:sz val="12"/>
      <x:name val="Calibri"/>
      <x:family val="2"/>
    </x:font>
    <x:font>
      <x:b/>
      <x:i/>
      <x:sz val="12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11"/>
      <x:color rgb="FF000000"/>
      <x:name val="Calibri"/>
      <x:family val="2"/>
    </x:font>
    <x:font>
      <x:sz val="11"/>
      <x:name val="Calibri"/>
      <x:family val="2"/>
    </x:font>
    <x:font>
      <x:b/>
      <x:i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EECE1"/>
      </x:patternFill>
    </x:fill>
    <x:fill>
      <x:patternFill patternType="solid">
        <x:fgColor rgb="FFFFFFFF"/>
      </x:patternFill>
    </x:fill>
    <x:fill>
      <x:patternFill patternType="solid">
        <x:fgColor theme="8" tint="0.59999"/>
      </x:patternFill>
    </x:fill>
  </x:fills>
  <x:borders count="55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indexed="64"/>
      </x:bottom>
      <x:diagonal/>
    </x:border>
    <x:border>
      <x:left style="thin">
        <x:color rgb="FF000000"/>
      </x:left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455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2" borderId="1" xfId="0" applyFont="1" applyFill="1" applyBorder="1" applyAlignment="1">
      <x:alignment wrapText="1"/>
    </x:xf>
    <x:xf numFmtId="0" fontId="2" fillId="0" borderId="2" xfId="0" applyFont="1" applyBorder="1"/>
    <x:xf numFmtId="0" fontId="2" fillId="0" borderId="0" xfId="0" applyFont="1" applyAlignment="1">
      <x:alignment horizontal="center"/>
    </x:xf>
    <x:xf numFmtId="0" fontId="3" fillId="0" borderId="2" xfId="0" applyFont="1" applyBorder="1"/>
    <x:xf numFmtId="0" fontId="5" fillId="0" borderId="2" xfId="0" applyFont="1" applyBorder="1"/>
    <x:xf numFmtId="0" fontId="5" fillId="0" borderId="2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2" xfId="0" applyFont="1" applyBorder="1" applyAlignment="1">
      <x:alignment horizontal="center"/>
    </x:xf>
    <x:xf numFmtId="0" fontId="2" fillId="0" borderId="3" xfId="0" applyFont="1" applyBorder="1" applyAlignment="1">
      <x:alignment horizontal="center"/>
    </x:xf>
    <x:xf numFmtId="0" fontId="1" fillId="5" borderId="0" xfId="0" applyFont="1" applyFill="1" applyAlignment="1">
      <x:alignment horizontal="center"/>
    </x:xf>
    <x:xf numFmtId="0" fontId="2" fillId="5" borderId="0" xfId="0" applyFont="1" applyFill="1"/>
    <x:xf numFmtId="0" fontId="3" fillId="0" borderId="4" xfId="0" applyFont="1" applyBorder="1" applyAlignment="1">
      <x:alignment horizontal="right"/>
    </x:xf>
    <x:xf numFmtId="0" fontId="4" fillId="0" borderId="4" xfId="0" applyFont="1" applyBorder="1"/>
    <x:xf numFmtId="0" fontId="3" fillId="0" borderId="4" xfId="0" applyFont="1" applyBorder="1"/>
    <x:xf numFmtId="0" fontId="4" fillId="0" borderId="5" xfId="0" applyFont="1" applyBorder="1"/>
    <x:xf numFmtId="0" fontId="4" fillId="0" borderId="7" xfId="0" applyFont="1" applyBorder="1"/>
    <x:xf numFmtId="0" fontId="2" fillId="0" borderId="6" xfId="0" applyFont="1" applyBorder="1"/>
    <x:xf numFmtId="0" fontId="2" fillId="0" borderId="6" xfId="0" applyFont="1" applyBorder="1" applyAlignment="1">
      <x:alignment horizontal="center"/>
    </x:xf>
    <x:xf numFmtId="49" fontId="2" fillId="0" borderId="6" xfId="0" applyNumberFormat="1" applyFont="1" applyBorder="1" applyAlignment="1">
      <x:alignment horizontal="center"/>
    </x:xf>
    <x:xf numFmtId="0" fontId="2" fillId="0" borderId="8" xfId="0" applyFont="1" applyBorder="1"/>
    <x:xf numFmtId="0" fontId="2" fillId="0" borderId="8" xfId="0" applyFont="1" applyBorder="1" applyAlignment="1">
      <x:alignment horizontal="center"/>
    </x:xf>
    <x:xf numFmtId="0" fontId="3" fillId="3" borderId="9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/>
    </x:xf>
    <x:xf numFmtId="0" fontId="2" fillId="0" borderId="4" xfId="0" applyFont="1" applyBorder="1"/>
    <x:xf numFmtId="0" fontId="3" fillId="0" borderId="4" xfId="0" applyFont="1" applyBorder="1" applyAlignment="1">
      <x:alignment horizontal="center"/>
    </x:xf>
    <x:xf numFmtId="0" fontId="3" fillId="0" borderId="13" xfId="0" applyFont="1" applyBorder="1" applyAlignment="1">
      <x:alignment horizontal="center"/>
    </x:xf>
    <x:xf numFmtId="0" fontId="2" fillId="0" borderId="14" xfId="0" applyFont="1" applyBorder="1"/>
    <x:xf numFmtId="0" fontId="2" fillId="0" borderId="15" xfId="0" applyFont="1" applyBorder="1"/>
    <x:xf numFmtId="0" fontId="2" fillId="0" borderId="15" xfId="0" applyFont="1" applyBorder="1" applyAlignment="1">
      <x:alignment horizontal="center"/>
    </x:xf>
    <x:xf numFmtId="0" fontId="2" fillId="0" borderId="17" xfId="0" applyFont="1" applyBorder="1"/>
    <x:xf numFmtId="0" fontId="2" fillId="0" borderId="19" xfId="0" applyFont="1" applyBorder="1"/>
    <x:xf numFmtId="0" fontId="2" fillId="0" borderId="10" xfId="0" applyFont="1" applyBorder="1"/>
    <x:xf numFmtId="0" fontId="2" fillId="0" borderId="10" xfId="0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3" fillId="3" borderId="6" xfId="0" applyFont="1" applyFill="1" applyBorder="1" applyAlignment="1">
      <x:alignment horizontal="center" vertical="center"/>
    </x:xf>
    <x:xf numFmtId="0" fontId="3" fillId="3" borderId="6" xfId="0" applyFont="1" applyFill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20" xfId="0" applyFont="1" applyBorder="1" applyAlignment="1">
      <x:alignment horizontal="center"/>
    </x:xf>
    <x:xf numFmtId="0" fontId="5" fillId="0" borderId="8" xfId="0" applyFont="1" applyBorder="1" applyAlignment="1">
      <x:alignment horizontal="right"/>
    </x:xf>
    <x:xf numFmtId="0" fontId="2" fillId="0" borderId="21" xfId="0" applyFont="1" applyBorder="1"/>
    <x:xf numFmtId="0" fontId="2" fillId="0" borderId="21" xfId="0" applyFont="1" applyBorder="1" applyAlignment="1">
      <x:alignment horizontal="center"/>
    </x:xf>
    <x:xf numFmtId="0" fontId="5" fillId="0" borderId="21" xfId="0" applyFont="1" applyBorder="1" applyAlignment="1">
      <x:alignment horizontal="right"/>
    </x:xf>
    <x:xf numFmtId="9" fontId="2" fillId="0" borderId="21" xfId="0" applyNumberFormat="1" applyFont="1" applyBorder="1" applyAlignment="1">
      <x:alignment horizontal="center"/>
    </x:xf>
    <x:xf numFmtId="0" fontId="2" fillId="0" borderId="4" xfId="0" applyFont="1" applyBorder="1" applyAlignment="1">
      <x:alignment horizontal="left"/>
    </x:xf>
    <x:xf numFmtId="0" fontId="2" fillId="0" borderId="4" xfId="0" applyFont="1" applyBorder="1" applyAlignment="1">
      <x:alignment horizontal="center"/>
    </x:xf>
    <x:xf numFmtId="0" fontId="5" fillId="0" borderId="4" xfId="0" applyFont="1" applyBorder="1" applyAlignment="1">
      <x:alignment horizontal="left"/>
    </x:xf>
    <x:xf numFmtId="49" fontId="5" fillId="0" borderId="4" xfId="0" applyNumberFormat="1" applyFont="1" applyBorder="1" applyAlignment="1">
      <x:alignment horizontal="right"/>
    </x:xf>
    <x:xf numFmtId="0" fontId="2" fillId="0" borderId="6" xfId="0" applyFont="1" applyBorder="1" applyAlignment="1">
      <x:alignment horizontal="left"/>
    </x:xf>
    <x:xf numFmtId="49" fontId="5" fillId="0" borderId="8" xfId="0" applyNumberFormat="1" applyFont="1" applyBorder="1" applyAlignment="1">
      <x:alignment horizontal="right"/>
    </x:xf>
    <x:xf numFmtId="0" fontId="4" fillId="0" borderId="8" xfId="0" applyFont="1" applyBorder="1"/>
    <x:xf numFmtId="0" fontId="5" fillId="0" borderId="21" xfId="0" applyFont="1" applyBorder="1" applyAlignment="1">
      <x:alignment horizontal="left" wrapText="1"/>
    </x:xf>
    <x:xf numFmtId="0" fontId="2" fillId="0" borderId="21" xfId="0" applyFont="1" applyBorder="1" applyAlignment="1">
      <x:alignment horizontal="left"/>
    </x:xf>
    <x:xf numFmtId="0" fontId="5" fillId="0" borderId="21" xfId="0" applyFont="1" applyBorder="1" applyAlignment="1">
      <x:alignment horizontal="left"/>
    </x:xf>
    <x:xf numFmtId="0" fontId="5" fillId="3" borderId="10" xfId="0" applyFont="1" applyFill="1" applyBorder="1" applyAlignment="1">
      <x:alignment vertical="center"/>
    </x:xf>
    <x:xf numFmtId="0" fontId="2" fillId="0" borderId="8" xfId="0" applyFont="1" applyBorder="1" applyAlignment="1">
      <x:alignment horizontal="left"/>
    </x:xf>
    <x:xf numFmtId="0" fontId="5" fillId="3" borderId="9" xfId="0" applyFont="1" applyFill="1" applyBorder="1" applyAlignment="1">
      <x:alignment vertical="center"/>
    </x:xf>
    <x:xf numFmtId="0" fontId="5" fillId="3" borderId="23" xfId="0" applyFont="1" applyFill="1" applyBorder="1" applyAlignment="1">
      <x:alignment vertical="center"/>
    </x:xf>
    <x:xf numFmtId="0" fontId="3" fillId="3" borderId="24" xfId="0" applyFont="1" applyFill="1" applyBorder="1" applyAlignment="1">
      <x:alignment horizontal="center" vertical="center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25" xfId="0" applyFont="1" applyFill="1" applyBorder="1" applyAlignment="1">
      <x:alignment horizontal="center" vertical="center"/>
    </x:xf>
    <x:xf numFmtId="0" fontId="3" fillId="0" borderId="26" xfId="0" applyFont="1" applyBorder="1" applyAlignment="1">
      <x:alignment horizontal="left"/>
    </x:xf>
    <x:xf numFmtId="0" fontId="2" fillId="0" borderId="27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3" fillId="0" borderId="17" xfId="0" applyFont="1" applyBorder="1" applyAlignment="1">
      <x:alignment horizontal="left" vertical="center" wrapText="1"/>
    </x:xf>
    <x:xf numFmtId="0" fontId="4" fillId="0" borderId="17" xfId="0" applyFont="1" applyBorder="1"/>
    <x:xf numFmtId="0" fontId="4" fillId="0" borderId="28" xfId="0" applyFont="1" applyBorder="1"/>
    <x:xf numFmtId="0" fontId="2" fillId="0" borderId="29" xfId="0" applyFont="1" applyBorder="1" applyAlignment="1">
      <x:alignment horizontal="center"/>
    </x:xf>
    <x:xf numFmtId="49" fontId="5" fillId="0" borderId="30" xfId="0" applyNumberFormat="1" applyFont="1" applyBorder="1" applyAlignment="1">
      <x:alignment horizontal="right"/>
    </x:xf>
    <x:xf numFmtId="49" fontId="5" fillId="0" borderId="31" xfId="0" applyNumberFormat="1" applyFont="1" applyBorder="1" applyAlignment="1">
      <x:alignment horizontal="right"/>
    </x:xf>
    <x:xf numFmtId="49" fontId="5" fillId="0" borderId="32" xfId="0" applyNumberFormat="1" applyFont="1" applyBorder="1" applyAlignment="1">
      <x:alignment horizontal="right"/>
    </x:xf>
    <x:xf numFmtId="0" fontId="2" fillId="0" borderId="33" xfId="0" applyFont="1" applyBorder="1" applyAlignment="1">
      <x:alignment horizontal="center"/>
    </x:xf>
    <x:xf numFmtId="0" fontId="2" fillId="0" borderId="34" xfId="0" applyFont="1" applyBorder="1" applyAlignment="1">
      <x:alignment horizontal="center"/>
    </x:xf>
    <x:xf numFmtId="0" fontId="2" fillId="0" borderId="4" xfId="0" applyFont="1" applyBorder="1"/>
    <x:xf numFmtId="0" fontId="5" fillId="0" borderId="35" xfId="0" applyFont="1" applyBorder="1" applyAlignment="1">
      <x:alignment horizontal="right"/>
    </x:xf>
    <x:xf numFmtId="0" fontId="5" fillId="0" borderId="36" xfId="0" applyFont="1" applyBorder="1" applyAlignment="1">
      <x:alignment horizontal="right"/>
    </x:xf>
    <x:xf numFmtId="0" fontId="5" fillId="0" borderId="37" xfId="0" applyFont="1" applyBorder="1" applyAlignment="1">
      <x:alignment horizontal="right"/>
    </x:xf>
    <x:xf numFmtId="0" fontId="5" fillId="0" borderId="38" xfId="0" applyFont="1" applyBorder="1" applyAlignment="1">
      <x:alignment horizontal="right"/>
    </x:xf>
    <x:xf numFmtId="0" fontId="5" fillId="0" borderId="39" xfId="0" applyFont="1" applyBorder="1" applyAlignment="1">
      <x:alignment horizontal="right"/>
    </x:xf>
    <x:xf numFmtId="0" fontId="5" fillId="0" borderId="40" xfId="0" applyFont="1" applyBorder="1" applyAlignment="1">
      <x:alignment horizontal="right"/>
    </x:xf>
    <x:xf numFmtId="0" fontId="2" fillId="0" borderId="13" xfId="0" applyFont="1" applyBorder="1"/>
    <x:xf numFmtId="0" fontId="2" fillId="0" borderId="41" xfId="0" applyFont="1" applyBorder="1"/>
    <x:xf numFmtId="0" fontId="2" fillId="0" borderId="22" xfId="0" applyFont="1" applyBorder="1"/>
    <x:xf numFmtId="0" fontId="5" fillId="0" borderId="4" xfId="0" applyFont="1" applyBorder="1" applyAlignment="1">
      <x:alignment horizontal="left" vertical="center"/>
    </x:xf>
    <x:xf numFmtId="49" fontId="5" fillId="0" borderId="4" xfId="0" applyNumberFormat="1" applyFont="1" applyBorder="1" applyAlignment="1">
      <x:alignment horizontal="right" vertical="center"/>
    </x:xf>
    <x:xf numFmtId="0" fontId="4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49" fontId="5" fillId="0" borderId="42" xfId="0" applyNumberFormat="1" applyFont="1" applyBorder="1" applyAlignment="1">
      <x:alignment horizontal="right"/>
    </x:xf>
    <x:xf numFmtId="49" fontId="5" fillId="0" borderId="13" xfId="0" applyNumberFormat="1" applyFont="1" applyBorder="1" applyAlignment="1">
      <x:alignment horizontal="right"/>
    </x:xf>
    <x:xf numFmtId="49" fontId="5" fillId="0" borderId="43" xfId="0" applyNumberFormat="1" applyFont="1" applyBorder="1" applyAlignment="1">
      <x:alignment horizontal="right"/>
    </x:xf>
    <x:xf numFmtId="0" fontId="2" fillId="0" borderId="11" xfId="0" applyFont="1" applyBorder="1" applyAlignment="1">
      <x:alignment horizontal="center"/>
    </x:xf>
    <x:xf numFmtId="0" fontId="5" fillId="0" borderId="4" xfId="0" applyFont="1" applyBorder="1" applyAlignment="1">
      <x:alignment horizontal="center"/>
    </x:xf>
    <x:xf numFmtId="0" fontId="5" fillId="0" borderId="44" xfId="0" applyFont="1" applyBorder="1" applyAlignment="1">
      <x:alignment horizontal="center"/>
    </x:xf>
    <x:xf numFmtId="0" fontId="3" fillId="0" borderId="45" xfId="0" applyFont="1" applyBorder="1" applyAlignment="1">
      <x:alignment horizontal="center"/>
    </x:xf>
    <x:xf numFmtId="0" fontId="3" fillId="0" borderId="30" xfId="0" applyFont="1" applyBorder="1" applyAlignment="1">
      <x:alignment horizontal="center"/>
    </x:xf>
    <x:xf numFmtId="49" fontId="5" fillId="0" borderId="46" xfId="0" applyNumberFormat="1" applyFont="1" applyBorder="1" applyAlignment="1">
      <x:alignment horizontal="right"/>
    </x:xf>
    <x:xf numFmtId="0" fontId="2" fillId="0" borderId="47" xfId="0" applyFont="1" applyBorder="1"/>
    <x:xf numFmtId="0" fontId="5" fillId="2" borderId="48" xfId="0" applyFont="1" applyFill="1" applyBorder="1"/>
    <x:xf numFmtId="0" fontId="2" fillId="0" borderId="45" xfId="0" applyFont="1" applyBorder="1"/>
    <x:xf numFmtId="0" fontId="2" fillId="2" borderId="45" xfId="0" applyFont="1" applyFill="1" applyBorder="1" applyAlignment="1">
      <x:alignment horizontal="center"/>
    </x:xf>
    <x:xf numFmtId="0" fontId="2" fillId="2" borderId="49" xfId="0" applyFont="1" applyFill="1" applyBorder="1" applyAlignment="1">
      <x:alignment horizontal="center"/>
    </x:xf>
    <x:xf numFmtId="0" fontId="2" fillId="0" borderId="50" xfId="0" applyFont="1" applyBorder="1" applyAlignment="1">
      <x:alignment wrapText="1"/>
    </x:xf>
    <x:xf numFmtId="0" fontId="2" fillId="0" borderId="51" xfId="0" applyFont="1" applyBorder="1"/>
    <x:xf numFmtId="0" fontId="2" fillId="4" borderId="30" xfId="0" applyFont="1" applyFill="1" applyBorder="1" applyAlignment="1">
      <x:alignment horizontal="left" wrapText="1"/>
    </x:xf>
    <x:xf numFmtId="0" fontId="2" fillId="0" borderId="31" xfId="0" applyFont="1" applyBorder="1"/>
    <x:xf numFmtId="0" fontId="2" fillId="0" borderId="52" xfId="0" applyFont="1" applyBorder="1"/>
    <x:xf numFmtId="0" fontId="5" fillId="2" borderId="14" xfId="0" applyFont="1" applyFill="1" applyBorder="1" applyAlignment="1">
      <x:alignment wrapText="1"/>
    </x:xf>
    <x:xf numFmtId="0" fontId="4" fillId="0" borderId="15" xfId="0" applyFont="1" applyBorder="1"/>
    <x:xf numFmtId="0" fontId="5" fillId="2" borderId="15" xfId="0" applyFont="1" applyFill="1" applyBorder="1" applyAlignment="1">
      <x:alignment horizontal="center"/>
    </x:xf>
    <x:xf numFmtId="0" fontId="5" fillId="2" borderId="16" xfId="0" applyFont="1" applyFill="1" applyBorder="1" applyAlignment="1">
      <x:alignment horizontal="center"/>
    </x:xf>
    <x:xf numFmtId="0" fontId="2" fillId="0" borderId="28" xfId="0" applyFont="1" applyBorder="1"/>
    <x:xf numFmtId="0" fontId="2" fillId="0" borderId="30" xfId="0" applyFont="1" applyBorder="1"/>
    <x:xf numFmtId="0" fontId="2" fillId="0" borderId="31" xfId="0" applyFont="1" applyBorder="1"/>
    <x:xf numFmtId="0" fontId="2" fillId="0" borderId="31" xfId="0" applyFont="1" applyBorder="1" applyAlignment="1">
      <x:alignment horizontal="center"/>
    </x:xf>
    <x:xf numFmtId="0" fontId="5" fillId="0" borderId="31" xfId="0" applyFont="1" applyBorder="1" applyAlignment="1">
      <x:alignment horizontal="center"/>
    </x:xf>
    <x:xf numFmtId="0" fontId="2" fillId="0" borderId="53" xfId="0" applyFont="1" applyBorder="1" applyAlignment="1">
      <x:alignment horizontal="center"/>
    </x:xf>
    <x:xf numFmtId="0" fontId="2" fillId="0" borderId="54" xfId="0" applyFont="1" applyBorder="1" applyAlignment="1">
      <x:alignment horizontal="center"/>
    </x:xf>
    <x:xf numFmtId="0" fontId="3" fillId="3" borderId="17" xfId="0" applyFont="1" applyFill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0" fontId="3" fillId="3" borderId="18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wrapText="1"/>
    </x:xf>
    <x:xf numFmtId="0" fontId="5" fillId="0" borderId="4" xfId="0" applyFont="1" applyBorder="1" applyAlignment="1">
      <x:alignment horizontal="center" wrapText="1"/>
    </x:xf>
    <x:xf numFmtId="0" fontId="2" fillId="0" borderId="21" xfId="0" applyFont="1" applyBorder="1" applyAlignment="1">
      <x:alignment vertical="center" wrapText="1"/>
    </x:xf>
    <x:xf numFmtId="0" fontId="2" fillId="0" borderId="21" xfId="0" applyFont="1" applyBorder="1" applyAlignment="1">
      <x:alignment vertical="center"/>
    </x:xf>
    <x:xf numFmtId="0" fontId="2" fillId="0" borderId="21" xfId="0" applyFont="1" applyBorder="1" applyAlignment="1">
      <x:alignment horizontal="center" vertical="center"/>
    </x:xf>
    <x:xf numFmtId="0" fontId="2" fillId="0" borderId="29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left" vertical="center"/>
    </x:xf>
    <x:xf numFmtId="200" fontId="2" fillId="0" borderId="21" xfId="0" applyNumberFormat="1" applyFont="1" applyFill="1" applyBorder="1" applyAlignment="1">
      <x:alignment horizontal="center"/>
    </x:xf>
    <x:xf numFmtId="201" fontId="2" fillId="0" borderId="15" xfId="0" applyNumberFormat="1" applyFont="1" applyFill="1" applyBorder="1" applyAlignment="1">
      <x:alignment horizontal="center"/>
    </x:xf>
    <x:xf numFmtId="201" fontId="2" fillId="0" borderId="6" xfId="0" applyNumberFormat="1" applyFont="1" applyFill="1" applyBorder="1" applyAlignment="1">
      <x:alignment horizontal="center"/>
    </x:xf>
    <x:xf numFmtId="201" fontId="2" fillId="0" borderId="1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201" fontId="3" fillId="0" borderId="13" xfId="0" applyNumberFormat="1" applyFont="1" applyFill="1" applyBorder="1" applyAlignment="1">
      <x:alignment horizontal="center"/>
    </x:xf>
    <x:xf numFmtId="201" fontId="3" fillId="3" borderId="10" xfId="0" applyNumberFormat="1" applyFont="1" applyFill="1" applyBorder="1" applyAlignment="1">
      <x:alignment horizontal="center" vertical="center"/>
    </x:xf>
    <x:xf numFmtId="201" fontId="3" fillId="3" borderId="10" xfId="0" applyNumberFormat="1" applyFont="1" applyFill="1" applyBorder="1" applyAlignment="1">
      <x:alignment horizontal="center" vertical="center" wrapText="1"/>
    </x:xf>
    <x:xf numFmtId="201" fontId="2" fillId="0" borderId="8" xfId="0" applyNumberFormat="1" applyFont="1" applyFill="1" applyBorder="1" applyAlignment="1">
      <x:alignment horizontal="center"/>
    </x:xf>
    <x:xf numFmtId="201" fontId="2" fillId="0" borderId="21" xfId="0" applyNumberFormat="1" applyFont="1" applyFill="1" applyBorder="1" applyAlignment="1">
      <x:alignment horizontal="center"/>
    </x:xf>
    <x:xf numFmtId="201" fontId="5" fillId="0" borderId="8" xfId="0" applyNumberFormat="1" applyFont="1" applyFill="1" applyBorder="1" applyAlignment="1">
      <x:alignment horizontal="right"/>
    </x:xf>
    <x:xf numFmtId="201" fontId="5" fillId="0" borderId="21" xfId="0" applyNumberFormat="1" applyFont="1" applyFill="1" applyBorder="1" applyAlignment="1">
      <x:alignment horizontal="right"/>
    </x:xf>
    <x:xf numFmtId="201" fontId="2" fillId="0" borderId="0" xfId="0" applyNumberFormat="1" applyFont="1" applyFill="1" applyBorder="1" applyAlignment="1">
      <x:alignment horizontal="center"/>
    </x:xf>
    <x:xf numFmtId="201" fontId="2" fillId="0" borderId="12" xfId="0" applyNumberFormat="1" applyFont="1" applyFill="1" applyBorder="1" applyAlignment="1">
      <x:alignment horizontal="center"/>
    </x:xf>
    <x:xf numFmtId="201" fontId="4" fillId="0" borderId="8" xfId="0" applyNumberFormat="1" applyFont="1" applyFill="1" applyBorder="1"/>
    <x:xf numFmtId="201" fontId="4" fillId="0" borderId="0" xfId="0" applyNumberFormat="1" applyFont="1" applyFill="1" applyBorder="1"/>
    <x:xf numFmtId="201" fontId="2" fillId="0" borderId="3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5" fillId="0" borderId="36" xfId="0" applyNumberFormat="1" applyFont="1" applyFill="1" applyBorder="1" applyAlignment="1">
      <x:alignment horizontal="right"/>
    </x:xf>
    <x:xf numFmtId="201" fontId="5" fillId="0" borderId="37" xfId="0" applyNumberFormat="1" applyFont="1" applyFill="1" applyBorder="1" applyAlignment="1">
      <x:alignment horizontal="right"/>
    </x:xf>
    <x:xf numFmtId="201" fontId="5" fillId="0" borderId="39" xfId="0" applyNumberFormat="1" applyFont="1" applyFill="1" applyBorder="1" applyAlignment="1">
      <x:alignment horizontal="right"/>
    </x:xf>
    <x:xf numFmtId="201" fontId="5" fillId="0" borderId="40" xfId="0" applyNumberFormat="1" applyFont="1" applyFill="1" applyBorder="1" applyAlignment="1">
      <x:alignment horizontal="right"/>
    </x:xf>
    <x:xf numFmtId="201" fontId="2" fillId="0" borderId="11" xfId="0" applyNumberFormat="1" applyFont="1" applyFill="1" applyBorder="1" applyAlignment="1">
      <x:alignment horizontal="center"/>
    </x:xf>
    <x:xf numFmtId="201" fontId="2" fillId="0" borderId="21" xfId="0" applyNumberFormat="1" applyFont="1" applyFill="1" applyBorder="1" applyAlignment="1">
      <x:alignment horizontal="center" vertical="center"/>
    </x:xf>
    <x:xf numFmtId="201" fontId="5" fillId="0" borderId="13" xfId="0" applyNumberFormat="1" applyFont="1" applyFill="1" applyBorder="1" applyAlignment="1">
      <x:alignment horizontal="right"/>
    </x:xf>
    <x:xf numFmtId="201" fontId="5" fillId="0" borderId="43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horizontal="center" wrapText="1"/>
    </x:xf>
    <x:xf numFmtId="201" fontId="5" fillId="0" borderId="44" xfId="0" applyNumberFormat="1" applyFont="1" applyFill="1" applyBorder="1" applyAlignment="1">
      <x:alignment horizontal="center"/>
    </x:xf>
    <x:xf numFmtId="201" fontId="3" fillId="3" borderId="24" xfId="0" applyNumberFormat="1" applyFont="1" applyFill="1" applyBorder="1" applyAlignment="1">
      <x:alignment horizontal="center" vertical="center" wrapText="1"/>
    </x:xf>
    <x:xf numFmtId="201" fontId="5" fillId="0" borderId="31" xfId="0" applyNumberFormat="1" applyFont="1" applyFill="1" applyBorder="1" applyAlignment="1">
      <x:alignment horizontal="right"/>
    </x:xf>
    <x:xf numFmtId="201" fontId="5" fillId="0" borderId="32" xfId="0" applyNumberFormat="1" applyFont="1" applyFill="1" applyBorder="1" applyAlignment="1">
      <x:alignment horizontal="right"/>
    </x:xf>
    <x:xf numFmtId="201" fontId="2" fillId="0" borderId="33" xfId="0" applyNumberFormat="1" applyFont="1" applyFill="1" applyBorder="1" applyAlignment="1">
      <x:alignment horizontal="center"/>
    </x:xf>
    <x:xf numFmtId="201" fontId="3" fillId="0" borderId="45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horizontal="center" wrapText="1"/>
    </x:xf>
    <x:xf numFmtId="201" fontId="2" fillId="0" borderId="15" xfId="0" applyNumberFormat="1" applyFont="1" applyFill="1" applyBorder="1" applyAlignment="1">
      <x:alignment horizontal="center" wrapText="1"/>
    </x:xf>
    <x:xf numFmtId="0" fontId="2" fillId="0" borderId="16" xfId="0" applyNumberFormat="1" applyFont="1" applyFill="1" applyBorder="1" applyAlignment="1">
      <x:alignment horizontal="center"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horizontal="center" wrapText="1"/>
    </x:xf>
    <x:xf numFmtId="201" fontId="2" fillId="0" borderId="6" xfId="0" applyNumberFormat="1" applyFont="1" applyFill="1" applyBorder="1" applyAlignment="1">
      <x:alignment horizontal="center" wrapText="1"/>
    </x:xf>
    <x:xf numFmtId="0" fontId="2" fillId="0" borderId="18" xfId="0" applyNumberFormat="1" applyFont="1" applyFill="1" applyBorder="1" applyAlignment="1">
      <x:alignment horizontal="center" wrapText="1"/>
    </x:xf>
    <x:xf numFmtId="49" fontId="2" fillId="0" borderId="6" xfId="0" applyNumberFormat="1" applyFont="1" applyFill="1" applyBorder="1" applyAlignment="1">
      <x:alignment horizontal="center"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horizontal="center" wrapText="1"/>
    </x:xf>
    <x:xf numFmtId="201" fontId="2" fillId="0" borderId="10" xfId="0" applyNumberFormat="1" applyFont="1" applyFill="1" applyBorder="1" applyAlignment="1">
      <x:alignment horizontal="center" wrapText="1"/>
    </x:xf>
    <x:xf numFmtId="0" fontId="2" fillId="0" borderId="20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horizontal="center" wrapText="1"/>
    </x:xf>
    <x:xf numFmtId="201" fontId="3" fillId="0" borderId="13" xfId="0" applyNumberFormat="1" applyFont="1" applyFill="1" applyBorder="1" applyAlignment="1">
      <x:alignment horizontal="center" wrapText="1"/>
    </x:xf>
    <x:xf numFmtId="0" fontId="3" fillId="0" borderId="13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horizontal="center" wrapText="1"/>
    </x:xf>
    <x:xf numFmtId="201" fontId="2" fillId="0" borderId="8" xfId="0" applyNumberFormat="1" applyFont="1" applyFill="1" applyBorder="1" applyAlignment="1">
      <x:alignment horizontal="center"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horizontal="center" wrapText="1"/>
    </x:xf>
    <x:xf numFmtId="201" fontId="2" fillId="0" borderId="21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horizontal="right" wrapText="1"/>
    </x:xf>
    <x:xf numFmtId="201" fontId="5" fillId="0" borderId="8" xfId="0" applyNumberFormat="1" applyFont="1" applyFill="1" applyBorder="1" applyAlignment="1">
      <x:alignment horizontal="right" wrapText="1"/>
    </x:xf>
    <x:xf numFmtId="0" fontId="5" fillId="0" borderId="21" xfId="0" applyNumberFormat="1" applyFont="1" applyFill="1" applyBorder="1" applyAlignment="1">
      <x:alignment horizontal="right" wrapText="1"/>
    </x:xf>
    <x:xf numFmtId="201" fontId="5" fillId="0" borderId="21" xfId="0" applyNumberFormat="1" applyFont="1" applyFill="1" applyBorder="1" applyAlignment="1">
      <x:alignment horizontal="right" wrapText="1"/>
    </x:xf>
    <x:xf numFmtId="200" fontId="2" fillId="0" borderId="21" xfId="0" applyNumberFormat="1" applyFont="1" applyFill="1" applyBorder="1" applyAlignment="1">
      <x:alignment horizontal="center" wrapText="1"/>
    </x:xf>
    <x:xf numFmtId="9" fontId="2" fillId="0" borderId="21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wrapText="1"/>
    </x:xf>
    <x:xf numFmtId="201" fontId="2" fillId="0" borderId="0" xfId="0" applyNumberFormat="1" applyFont="1" applyFill="1" applyBorder="1" applyAlignment="1">
      <x:alignment horizontal="center" wrapText="1"/>
    </x:xf>
    <x:xf numFmtId="201" fontId="2" fillId="0" borderId="12" xfId="0" applyNumberFormat="1" applyFont="1" applyFill="1" applyBorder="1" applyAlignment="1">
      <x:alignment horizontal="center" wrapText="1"/>
    </x:xf>
    <x:xf numFmtId="0" fontId="2" fillId="0" borderId="12" xfId="0" applyNumberFormat="1" applyFont="1" applyFill="1" applyBorder="1" applyAlignment="1">
      <x:alignment horizontal="center" wrapText="1"/>
    </x:xf>
    <x:xf numFmtId="0" fontId="5" fillId="0" borderId="21" xfId="0" applyNumberFormat="1" applyFont="1" applyFill="1" applyBorder="1" applyAlignment="1">
      <x:alignment horizontal="left" wrapText="1"/>
    </x:xf>
    <x:xf numFmtId="0" fontId="2" fillId="0" borderId="2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wrapText="1"/>
    </x:xf>
    <x:xf numFmtId="49" fontId="5" fillId="0" borderId="8" xfId="0" applyNumberFormat="1" applyFont="1" applyFill="1" applyBorder="1" applyAlignment="1">
      <x:alignment horizontal="right" wrapText="1"/>
    </x:xf>
    <x:xf numFmtId="0" fontId="4" fillId="0" borderId="8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49" fontId="5" fillId="0" borderId="0" xfId="0" applyNumberFormat="1" applyFont="1" applyFill="1" applyBorder="1" applyAlignment="1">
      <x:alignment horizontal="right" wrapText="1"/>
    </x:xf>
    <x:xf numFmtId="201" fontId="4" fillId="0" borderId="0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49" fontId="5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41" xfId="0" applyNumberFormat="1" applyFont="1" applyFill="1" applyBorder="1" applyAlignment="1">
      <x:alignment wrapText="1"/>
    </x:xf>
    <x:xf numFmtId="0" fontId="5" fillId="0" borderId="35" xfId="0" applyNumberFormat="1" applyFont="1" applyFill="1" applyBorder="1" applyAlignment="1">
      <x:alignment horizontal="right" wrapText="1"/>
    </x:xf>
    <x:xf numFmtId="201" fontId="5" fillId="0" borderId="36" xfId="0" applyNumberFormat="1" applyFont="1" applyFill="1" applyBorder="1" applyAlignment="1">
      <x:alignment horizontal="right" wrapText="1"/>
    </x:xf>
    <x:xf numFmtId="201" fontId="5" fillId="0" borderId="37" xfId="0" applyNumberFormat="1" applyFont="1" applyFill="1" applyBorder="1" applyAlignment="1">
      <x:alignment horizontal="right" wrapText="1"/>
    </x:xf>
    <x:xf numFmtId="0" fontId="2" fillId="0" borderId="22" xfId="0" applyNumberFormat="1" applyFont="1" applyFill="1" applyBorder="1" applyAlignment="1">
      <x:alignment wrapText="1"/>
    </x:xf>
    <x:xf numFmtId="0" fontId="5" fillId="0" borderId="38" xfId="0" applyNumberFormat="1" applyFont="1" applyFill="1" applyBorder="1" applyAlignment="1">
      <x:alignment horizontal="right" wrapText="1"/>
    </x:xf>
    <x:xf numFmtId="201" fontId="5" fillId="0" borderId="39" xfId="0" applyNumberFormat="1" applyFont="1" applyFill="1" applyBorder="1" applyAlignment="1">
      <x:alignment horizontal="right" wrapText="1"/>
    </x:xf>
    <x:xf numFmtId="201" fontId="5" fillId="0" borderId="40" xfId="0" applyNumberFormat="1" applyFont="1" applyFill="1" applyBorder="1" applyAlignment="1">
      <x:alignment horizontal="right" wrapText="1"/>
    </x:xf>
    <x:xf numFmtId="0" fontId="2" fillId="0" borderId="13" xfId="0" applyNumberFormat="1" applyFont="1" applyFill="1" applyBorder="1" applyAlignment="1">
      <x:alignment wrapText="1"/>
    </x:xf>
    <x:xf numFmtId="201" fontId="2" fillId="0" borderId="11" xfId="0" applyNumberFormat="1" applyFont="1" applyFill="1" applyBorder="1" applyAlignment="1">
      <x:alignment horizontal="center" wrapText="1"/>
    </x:xf>
    <x:xf numFmtId="0" fontId="5" fillId="0" borderId="21" xfId="0" applyNumberFormat="1" applyFont="1" applyFill="1" applyBorder="1" applyAlignment="1">
      <x:alignment horizontal="left"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horizontal="center" vertical="center" wrapText="1"/>
    </x:xf>
    <x:xf numFmtId="201" fontId="2" fillId="0" borderId="21" xfId="0" applyNumberFormat="1" applyFont="1" applyFill="1" applyBorder="1" applyAlignment="1">
      <x:alignment horizontal="center" vertical="center" wrapText="1"/>
    </x:xf>
    <x:xf numFmtId="49" fontId="5" fillId="0" borderId="42" xfId="0" applyNumberFormat="1" applyFont="1" applyFill="1" applyBorder="1" applyAlignment="1">
      <x:alignment horizontal="right" wrapText="1"/>
    </x:xf>
    <x:xf numFmtId="49" fontId="5" fillId="0" borderId="13" xfId="0" applyNumberFormat="1" applyFont="1" applyFill="1" applyBorder="1" applyAlignment="1">
      <x:alignment horizontal="right" wrapText="1"/>
    </x:xf>
    <x:xf numFmtId="201" fontId="5" fillId="0" borderId="13" xfId="0" applyNumberFormat="1" applyFont="1" applyFill="1" applyBorder="1" applyAlignment="1">
      <x:alignment horizontal="right" wrapText="1"/>
    </x:xf>
    <x:xf numFmtId="201" fontId="5" fillId="0" borderId="43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44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3" fillId="3" borderId="24" xfId="0" applyNumberFormat="1" applyFont="1" applyFill="1" applyBorder="1" applyAlignment="1">
      <x:alignment horizontal="center" vertical="center" wrapText="1"/>
    </x:xf>
    <x:xf numFmtId="0" fontId="3" fillId="3" borderId="25" xfId="0" applyNumberFormat="1" applyFont="1" applyFill="1" applyBorder="1" applyAlignment="1">
      <x:alignment horizontal="center" vertical="center" wrapText="1"/>
    </x:xf>
    <x:xf numFmtId="0" fontId="3" fillId="0" borderId="26" xfId="0" applyNumberFormat="1" applyFont="1" applyFill="1" applyBorder="1" applyAlignment="1">
      <x:alignment horizontal="left" wrapText="1"/>
    </x:xf>
    <x:xf numFmtId="0" fontId="2" fillId="0" borderId="8" xfId="0" applyNumberFormat="1" applyFont="1" applyFill="1" applyBorder="1" applyAlignment="1">
      <x:alignment horizontal="left" wrapText="1"/>
    </x:xf>
    <x:xf numFmtId="0" fontId="2" fillId="0" borderId="27" xfId="0" applyNumberFormat="1" applyFont="1" applyFill="1" applyBorder="1" applyAlignment="1">
      <x:alignment horizontal="center" wrapText="1"/>
    </x:xf>
    <x:xf numFmtId="0" fontId="3" fillId="0" borderId="17" xfId="0" applyNumberFormat="1" applyFont="1" applyFill="1" applyBorder="1" applyAlignment="1">
      <x:alignment horizontal="center" wrapText="1"/>
    </x:xf>
    <x:xf numFmtId="0" fontId="2" fillId="0" borderId="6" xfId="0" applyNumberFormat="1" applyFont="1" applyFill="1" applyBorder="1" applyAlignment="1">
      <x:alignment horizontal="left" wrapText="1"/>
    </x:xf>
    <x:xf numFmtId="0" fontId="3" fillId="0" borderId="17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28" xfId="0" applyNumberFormat="1" applyFont="1" applyFill="1" applyBorder="1" applyAlignment="1">
      <x:alignment wrapText="1"/>
    </x:xf>
    <x:xf numFmtId="0" fontId="2" fillId="0" borderId="29" xfId="0" applyNumberFormat="1" applyFont="1" applyFill="1" applyBorder="1" applyAlignment="1">
      <x:alignment horizontal="center" vertical="center" wrapText="1"/>
    </x:xf>
    <x:xf numFmtId="49" fontId="5" fillId="0" borderId="30" xfId="0" applyNumberFormat="1" applyFont="1" applyFill="1" applyBorder="1" applyAlignment="1">
      <x:alignment horizontal="right" wrapText="1"/>
    </x:xf>
    <x:xf numFmtId="49" fontId="5" fillId="0" borderId="31" xfId="0" applyNumberFormat="1" applyFont="1" applyFill="1" applyBorder="1" applyAlignment="1">
      <x:alignment horizontal="right" wrapText="1"/>
    </x:xf>
    <x:xf numFmtId="201" fontId="5" fillId="0" borderId="31" xfId="0" applyNumberFormat="1" applyFont="1" applyFill="1" applyBorder="1" applyAlignment="1">
      <x:alignment horizontal="right" wrapText="1"/>
    </x:xf>
    <x:xf numFmtId="201" fontId="5" fillId="0" borderId="32" xfId="0" applyNumberFormat="1" applyFont="1" applyFill="1" applyBorder="1" applyAlignment="1">
      <x:alignment horizontal="right" wrapText="1"/>
    </x:xf>
    <x:xf numFmtId="201" fontId="2" fillId="0" borderId="33" xfId="0" applyNumberFormat="1" applyFont="1" applyFill="1" applyBorder="1" applyAlignment="1">
      <x:alignment horizontal="center" wrapText="1"/>
    </x:xf>
    <x:xf numFmtId="0" fontId="2" fillId="0" borderId="34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201" fontId="3" fillId="0" borderId="45" xfId="0" applyNumberFormat="1" applyFont="1" applyFill="1" applyBorder="1" applyAlignment="1">
      <x:alignment horizontal="center" wrapText="1"/>
    </x:xf>
    <x:xf numFmtId="0" fontId="3" fillId="0" borderId="45" xfId="0" applyNumberFormat="1" applyFont="1" applyFill="1" applyBorder="1" applyAlignment="1">
      <x:alignment horizontal="center" wrapText="1"/>
    </x:xf>
    <x:xf numFmtId="0" fontId="2" fillId="0" borderId="29" xfId="0" applyNumberFormat="1" applyFont="1" applyFill="1" applyBorder="1" applyAlignment="1">
      <x:alignment horizontal="center" wrapText="1"/>
    </x:xf>
    <x:xf numFmtId="0" fontId="3" fillId="0" borderId="30" xfId="0" applyNumberFormat="1" applyFont="1" applyFill="1" applyBorder="1" applyAlignment="1">
      <x:alignment horizontal="center" wrapText="1"/>
    </x:xf>
    <x:xf numFmtId="49" fontId="5" fillId="0" borderId="46" xfId="0" applyNumberFormat="1" applyFont="1" applyFill="1" applyBorder="1" applyAlignment="1">
      <x:alignment horizontal="right" wrapText="1"/>
    </x:xf>
    <x:xf numFmtId="0" fontId="2" fillId="0" borderId="47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horizontal="center" wrapText="1"/>
    </x:xf>
    <x:xf numFmtId="0" fontId="5" fillId="2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5" fillId="2" borderId="15" xfId="0" applyNumberFormat="1" applyFont="1" applyFill="1" applyBorder="1" applyAlignment="1">
      <x:alignment horizontal="center" wrapText="1"/>
    </x:xf>
    <x:xf numFmtId="0" fontId="5" fillId="2" borderId="16" xfId="0" applyNumberFormat="1" applyFont="1" applyFill="1" applyBorder="1" applyAlignment="1">
      <x:alignment horizont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30" xfId="0" applyNumberFormat="1" applyFont="1" applyFill="1" applyBorder="1" applyAlignment="1">
      <x:alignment wrapText="1"/>
    </x:xf>
    <x:xf numFmtId="0" fontId="2" fillId="0" borderId="31" xfId="0" applyNumberFormat="1" applyFont="1" applyFill="1" applyBorder="1" applyAlignment="1">
      <x:alignment wrapText="1"/>
    </x:xf>
    <x:xf numFmtId="0" fontId="2" fillId="0" borderId="31" xfId="0" applyNumberFormat="1" applyFont="1" applyFill="1" applyBorder="1" applyAlignment="1">
      <x:alignment horizontal="center" wrapText="1"/>
    </x:xf>
    <x:xf numFmtId="0" fontId="5" fillId="0" borderId="31" xfId="0" applyNumberFormat="1" applyFont="1" applyFill="1" applyBorder="1" applyAlignment="1">
      <x:alignment horizontal="center" wrapText="1"/>
    </x:xf>
    <x:xf numFmtId="0" fontId="2" fillId="0" borderId="53" xfId="0" applyNumberFormat="1" applyFont="1" applyFill="1" applyBorder="1" applyAlignment="1">
      <x:alignment horizontal="center" wrapText="1"/>
    </x:xf>
    <x:xf numFmtId="0" fontId="2" fillId="0" borderId="54" xfId="0" applyNumberFormat="1" applyFont="1" applyFill="1" applyBorder="1" applyAlignment="1">
      <x:alignment horizontal="center" wrapText="1"/>
    </x:xf>
    <x:xf numFmtId="0" fontId="5" fillId="2" borderId="48" xfId="0" applyNumberFormat="1" applyFont="1" applyFill="1" applyBorder="1" applyAlignment="1">
      <x:alignment wrapText="1"/>
    </x:xf>
    <x:xf numFmtId="0" fontId="2" fillId="0" borderId="45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horizontal="center" wrapText="1"/>
    </x:xf>
    <x:xf numFmtId="0" fontId="2" fillId="2" borderId="49" xfId="0" applyNumberFormat="1" applyFont="1" applyFill="1" applyBorder="1" applyAlignment="1">
      <x:alignment horizontal="center" wrapText="1"/>
    </x:xf>
    <x:xf numFmtId="0" fontId="2" fillId="0" borderId="50" xfId="0" applyNumberFormat="1" applyFont="1" applyFill="1" applyBorder="1" applyAlignment="1">
      <x:alignment wrapText="1"/>
    </x:xf>
    <x:xf numFmtId="0" fontId="2" fillId="0" borderId="51" xfId="0" applyNumberFormat="1" applyFont="1" applyFill="1" applyBorder="1" applyAlignment="1">
      <x:alignment wrapText="1"/>
    </x:xf>
    <x:xf numFmtId="0" fontId="2" fillId="4" borderId="30" xfId="0" applyNumberFormat="1" applyFont="1" applyFill="1" applyBorder="1" applyAlignment="1">
      <x:alignment horizontal="left" wrapText="1"/>
    </x:xf>
    <x:xf numFmtId="0" fontId="2" fillId="0" borderId="52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right" wrapText="1"/>
    </x:xf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horizontal="center" wrapText="1"/>
    </x:xf>
    <x:xf numFmtId="201" fontId="7" fillId="0" borderId="15" xfId="0" applyNumberFormat="1" applyFont="1" applyFill="1" applyBorder="1" applyAlignment="1">
      <x:alignment horizontal="center" wrapText="1"/>
    </x:xf>
    <x:xf numFmtId="0" fontId="7" fillId="0" borderId="16" xfId="0" applyNumberFormat="1" applyFont="1" applyFill="1" applyBorder="1" applyAlignment="1">
      <x:alignment horizont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horizontal="center" wrapText="1"/>
    </x:xf>
    <x:xf numFmtId="201" fontId="7" fillId="0" borderId="6" xfId="0" applyNumberFormat="1" applyFont="1" applyFill="1" applyBorder="1" applyAlignment="1">
      <x:alignment horizontal="center" wrapText="1"/>
    </x:xf>
    <x:xf numFmtId="0" fontId="7" fillId="0" borderId="18" xfId="0" applyNumberFormat="1" applyFont="1" applyFill="1" applyBorder="1" applyAlignment="1">
      <x:alignment horizontal="center" wrapText="1"/>
    </x:xf>
    <x:xf numFmtId="49" fontId="7" fillId="0" borderId="6" xfId="0" applyNumberFormat="1" applyFont="1" applyFill="1" applyBorder="1" applyAlignment="1">
      <x:alignment horizontal="center"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horizontal="center" wrapText="1"/>
    </x:xf>
    <x:xf numFmtId="201" fontId="7" fillId="0" borderId="10" xfId="0" applyNumberFormat="1" applyFont="1" applyFill="1" applyBorder="1" applyAlignment="1">
      <x:alignment horizontal="center" wrapText="1"/>
    </x:xf>
    <x:xf numFmtId="0" fontId="7" fillId="0" borderId="2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horizontal="center" wrapText="1"/>
    </x:xf>
    <x:xf numFmtId="201" fontId="6" fillId="0" borderId="13" xfId="0" applyNumberFormat="1" applyFont="1" applyFill="1" applyBorder="1" applyAlignment="1">
      <x:alignment horizontal="center" wrapText="1"/>
    </x:xf>
    <x:xf numFmtId="0" fontId="6" fillId="0" borderId="13" xfId="0" applyNumberFormat="1" applyFont="1" applyFill="1" applyBorder="1" applyAlignment="1">
      <x:alignment horizontal="center" wrapText="1"/>
    </x:xf>
    <x:xf numFmtId="0" fontId="9" fillId="3" borderId="9" xfId="0" applyNumberFormat="1" applyFont="1" applyFill="1" applyBorder="1" applyAlignment="1">
      <x:alignment vertical="center" wrapText="1"/>
    </x:xf>
    <x:xf numFmtId="201" fontId="6" fillId="3" borderId="10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201" fontId="7" fillId="0" borderId="8" xfId="0" applyNumberFormat="1" applyFont="1" applyFill="1" applyBorder="1" applyAlignment="1">
      <x:alignment horizont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horizontal="center" wrapText="1"/>
    </x:xf>
    <x:xf numFmtId="201" fontId="7" fillId="0" borderId="21" xfId="0" applyNumberFormat="1" applyFont="1" applyFill="1" applyBorder="1" applyAlignment="1">
      <x:alignment horizontal="center" wrapText="1"/>
    </x:xf>
    <x:xf numFmtId="0" fontId="9" fillId="0" borderId="8" xfId="0" applyNumberFormat="1" applyFont="1" applyFill="1" applyBorder="1" applyAlignment="1">
      <x:alignment horizontal="right" wrapText="1"/>
    </x:xf>
    <x:xf numFmtId="201" fontId="9" fillId="0" borderId="8" xfId="0" applyNumberFormat="1" applyFont="1" applyFill="1" applyBorder="1" applyAlignment="1">
      <x:alignment horizontal="right" wrapText="1"/>
    </x:xf>
    <x:xf numFmtId="0" fontId="9" fillId="0" borderId="21" xfId="0" applyNumberFormat="1" applyFont="1" applyFill="1" applyBorder="1" applyAlignment="1">
      <x:alignment horizontal="right" wrapText="1"/>
    </x:xf>
    <x:xf numFmtId="201" fontId="9" fillId="0" borderId="21" xfId="0" applyNumberFormat="1" applyFont="1" applyFill="1" applyBorder="1" applyAlignment="1">
      <x:alignment horizontal="right" wrapText="1"/>
    </x:xf>
    <x:xf numFmtId="200" fontId="7" fillId="0" borderId="21" xfId="0" applyNumberFormat="1" applyFont="1" applyFill="1" applyBorder="1" applyAlignment="1">
      <x:alignment horizontal="center" wrapText="1"/>
    </x:xf>
    <x:xf numFmtId="9" fontId="7" fillId="0" borderId="21" xfId="0" applyNumberFormat="1" applyFont="1" applyFill="1" applyBorder="1" applyAlignment="1">
      <x:alignment horizontal="center"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201" fontId="7" fillId="0" borderId="0" xfId="0" applyNumberFormat="1" applyFont="1" applyFill="1" applyBorder="1" applyAlignment="1">
      <x:alignment horizontal="center" wrapText="1"/>
    </x:xf>
    <x:xf numFmtId="201" fontId="7" fillId="0" borderId="12" xfId="0" applyNumberFormat="1" applyFont="1" applyFill="1" applyBorder="1" applyAlignment="1">
      <x:alignment horizontal="center" wrapText="1"/>
    </x:xf>
    <x:xf numFmtId="0" fontId="7" fillId="0" borderId="12" xfId="0" applyNumberFormat="1" applyFont="1" applyFill="1" applyBorder="1" applyAlignment="1">
      <x:alignment horizontal="center" wrapText="1"/>
    </x:xf>
    <x:xf numFmtId="0" fontId="9" fillId="0" borderId="21" xfId="0" applyNumberFormat="1" applyFont="1" applyFill="1" applyBorder="1" applyAlignment="1">
      <x:alignment horizontal="left" wrapText="1"/>
    </x:xf>
    <x:xf numFmtId="0" fontId="7" fillId="0" borderId="21" xfId="0" applyNumberFormat="1" applyFont="1" applyFill="1" applyBorder="1" applyAlignment="1">
      <x:alignment horizontal="left" wrapText="1"/>
    </x:xf>
    <x:xf numFmtId="0" fontId="9" fillId="0" borderId="0" xfId="0" applyNumberFormat="1" applyFont="1" applyFill="1" applyBorder="1" applyAlignment="1">
      <x:alignment horizontal="left" wrapText="1"/>
    </x:xf>
    <x:xf numFmtId="49" fontId="9" fillId="0" borderId="8" xfId="0" applyNumberFormat="1" applyFont="1" applyFill="1" applyBorder="1" applyAlignment="1">
      <x:alignment horizontal="right" wrapText="1"/>
    </x:xf>
    <x:xf numFmtId="0" fontId="8" fillId="0" borderId="8" xfId="0" applyNumberFormat="1" applyFont="1" applyFill="1" applyBorder="1" applyAlignment="1">
      <x:alignment wrapText="1"/>
    </x:xf>
    <x:xf numFmtId="201" fontId="8" fillId="0" borderId="8" xfId="0" applyNumberFormat="1" applyFont="1" applyFill="1" applyBorder="1" applyAlignment="1">
      <x:alignment wrapText="1"/>
    </x:xf>
    <x:xf numFmtId="49" fontId="9" fillId="0" borderId="0" xfId="0" applyNumberFormat="1" applyFont="1" applyFill="1" applyBorder="1" applyAlignment="1">
      <x:alignment horizontal="right" wrapText="1"/>
    </x:xf>
    <x:xf numFmtId="201" fontId="8" fillId="0" borderId="0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49" fontId="9" fillId="0" borderId="0" xfId="0" applyNumberFormat="1" applyFont="1" applyFill="1" applyBorder="1" applyAlignment="1">
      <x:alignment horizontal="right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41" xfId="0" applyNumberFormat="1" applyFont="1" applyFill="1" applyBorder="1" applyAlignment="1">
      <x:alignment wrapText="1"/>
    </x:xf>
    <x:xf numFmtId="0" fontId="9" fillId="0" borderId="35" xfId="0" applyNumberFormat="1" applyFont="1" applyFill="1" applyBorder="1" applyAlignment="1">
      <x:alignment horizontal="right" wrapText="1"/>
    </x:xf>
    <x:xf numFmtId="201" fontId="9" fillId="0" borderId="36" xfId="0" applyNumberFormat="1" applyFont="1" applyFill="1" applyBorder="1" applyAlignment="1">
      <x:alignment horizontal="right" wrapText="1"/>
    </x:xf>
    <x:xf numFmtId="201" fontId="9" fillId="0" borderId="37" xfId="0" applyNumberFormat="1" applyFont="1" applyFill="1" applyBorder="1" applyAlignment="1">
      <x:alignment horizontal="right" wrapText="1"/>
    </x:xf>
    <x:xf numFmtId="0" fontId="7" fillId="0" borderId="22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horizontal="right" wrapText="1"/>
    </x:xf>
    <x:xf numFmtId="201" fontId="9" fillId="0" borderId="39" xfId="0" applyNumberFormat="1" applyFont="1" applyFill="1" applyBorder="1" applyAlignment="1">
      <x:alignment horizontal="right" wrapText="1"/>
    </x:xf>
    <x:xf numFmtId="201" fontId="9" fillId="0" borderId="40" xfId="0" applyNumberFormat="1" applyFont="1" applyFill="1" applyBorder="1" applyAlignment="1">
      <x:alignment horizontal="right" wrapText="1"/>
    </x:xf>
    <x:xf numFmtId="0" fontId="7" fillId="0" borderId="13" xfId="0" applyNumberFormat="1" applyFont="1" applyFill="1" applyBorder="1" applyAlignment="1">
      <x:alignment wrapText="1"/>
    </x:xf>
    <x:xf numFmtId="201" fontId="7" fillId="0" borderId="11" xfId="0" applyNumberFormat="1" applyFont="1" applyFill="1" applyBorder="1" applyAlignment="1">
      <x:alignment horizontal="center" wrapText="1"/>
    </x:xf>
    <x:xf numFmtId="0" fontId="9" fillId="0" borderId="21" xfId="0" applyNumberFormat="1" applyFont="1" applyFill="1" applyBorder="1" applyAlignment="1">
      <x:alignment horizontal="left"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horizontal="center" vertical="center" wrapText="1"/>
    </x:xf>
    <x:xf numFmtId="201" fontId="7" fillId="0" borderId="21" xfId="0" applyNumberFormat="1" applyFont="1" applyFill="1" applyBorder="1" applyAlignment="1">
      <x:alignment horizontal="center" vertical="center" wrapText="1"/>
    </x:xf>
    <x:xf numFmtId="49" fontId="9" fillId="0" borderId="42" xfId="0" applyNumberFormat="1" applyFont="1" applyFill="1" applyBorder="1" applyAlignment="1">
      <x:alignment horizontal="right" wrapText="1"/>
    </x:xf>
    <x:xf numFmtId="49" fontId="9" fillId="0" borderId="13" xfId="0" applyNumberFormat="1" applyFont="1" applyFill="1" applyBorder="1" applyAlignment="1">
      <x:alignment horizontal="right" wrapText="1"/>
    </x:xf>
    <x:xf numFmtId="201" fontId="9" fillId="0" borderId="13" xfId="0" applyNumberFormat="1" applyFont="1" applyFill="1" applyBorder="1" applyAlignment="1">
      <x:alignment horizontal="right" wrapText="1"/>
    </x:xf>
    <x:xf numFmtId="201" fontId="9" fillId="0" borderId="43" xfId="0" applyNumberFormat="1" applyFont="1" applyFill="1" applyBorder="1" applyAlignment="1">
      <x:alignment horizontal="right" wrapText="1"/>
    </x:xf>
    <x:xf numFmtId="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horizontal="center" wrapText="1"/>
    </x:xf>
    <x:xf numFmtId="201" fontId="9" fillId="0" borderId="44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3" borderId="23" xfId="0" applyNumberFormat="1" applyFont="1" applyFill="1" applyBorder="1" applyAlignment="1">
      <x:alignment vertical="center" wrapText="1"/>
    </x:xf>
    <x:xf numFmtId="0" fontId="6" fillId="3" borderId="24" xfId="0" applyNumberFormat="1" applyFont="1" applyFill="1" applyBorder="1" applyAlignment="1">
      <x:alignment horizontal="center" vertical="center" wrapText="1"/>
    </x:xf>
    <x:xf numFmtId="201" fontId="6" fillId="3" borderId="24" xfId="0" applyNumberFormat="1" applyFont="1" applyFill="1" applyBorder="1" applyAlignment="1">
      <x:alignment horizontal="center" vertical="center" wrapText="1"/>
    </x:xf>
    <x:xf numFmtId="0" fontId="6" fillId="3" borderId="25" xfId="0" applyNumberFormat="1" applyFont="1" applyFill="1" applyBorder="1" applyAlignment="1">
      <x:alignment horizontal="center" vertical="center" wrapText="1"/>
    </x:xf>
    <x:xf numFmtId="0" fontId="6" fillId="0" borderId="26" xfId="0" applyNumberFormat="1" applyFont="1" applyFill="1" applyBorder="1" applyAlignment="1">
      <x:alignment horizontal="left" wrapText="1"/>
    </x:xf>
    <x:xf numFmtId="0" fontId="7" fillId="0" borderId="8" xfId="0" applyNumberFormat="1" applyFont="1" applyFill="1" applyBorder="1" applyAlignment="1">
      <x:alignment horizontal="left" wrapText="1"/>
    </x:xf>
    <x:xf numFmtId="0" fontId="7" fillId="0" borderId="27" xfId="0" applyNumberFormat="1" applyFont="1" applyFill="1" applyBorder="1" applyAlignment="1">
      <x:alignment horizontal="center" wrapText="1"/>
    </x:xf>
    <x:xf numFmtId="0" fontId="6" fillId="0" borderId="17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horizontal="left" wrapText="1"/>
    </x:xf>
    <x:xf numFmtId="0" fontId="6" fillId="0" borderId="17" xfId="0" applyNumberFormat="1" applyFont="1" applyFill="1" applyBorder="1" applyAlignment="1">
      <x:alignment horizontal="left" vertical="center"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28" xfId="0" applyNumberFormat="1" applyFont="1" applyFill="1" applyBorder="1" applyAlignment="1">
      <x:alignment wrapText="1"/>
    </x:xf>
    <x:xf numFmtId="0" fontId="7" fillId="0" borderId="29" xfId="0" applyNumberFormat="1" applyFont="1" applyFill="1" applyBorder="1" applyAlignment="1">
      <x:alignment horizontal="center" vertical="center" wrapText="1"/>
    </x:xf>
    <x:xf numFmtId="49" fontId="9" fillId="0" borderId="30" xfId="0" applyNumberFormat="1" applyFont="1" applyFill="1" applyBorder="1" applyAlignment="1">
      <x:alignment horizontal="right" wrapText="1"/>
    </x:xf>
    <x:xf numFmtId="49" fontId="9" fillId="0" borderId="31" xfId="0" applyNumberFormat="1" applyFont="1" applyFill="1" applyBorder="1" applyAlignment="1">
      <x:alignment horizontal="right" wrapText="1"/>
    </x:xf>
    <x:xf numFmtId="201" fontId="9" fillId="0" borderId="31" xfId="0" applyNumberFormat="1" applyFont="1" applyFill="1" applyBorder="1" applyAlignment="1">
      <x:alignment horizontal="right" wrapText="1"/>
    </x:xf>
    <x:xf numFmtId="201" fontId="9" fillId="0" borderId="32" xfId="0" applyNumberFormat="1" applyFont="1" applyFill="1" applyBorder="1" applyAlignment="1">
      <x:alignment horizontal="right" wrapText="1"/>
    </x:xf>
    <x:xf numFmtId="201" fontId="7" fillId="0" borderId="33" xfId="0" applyNumberFormat="1" applyFont="1" applyFill="1" applyBorder="1" applyAlignment="1">
      <x:alignment horizontal="center" wrapText="1"/>
    </x:xf>
    <x:xf numFmtId="0" fontId="7" fillId="0" borderId="34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horizontal="center" wrapText="1"/>
    </x:xf>
    <x:xf numFmtId="201" fontId="6" fillId="0" borderId="45" xfId="0" applyNumberFormat="1" applyFont="1" applyFill="1" applyBorder="1" applyAlignment="1">
      <x:alignment horizontal="center" wrapText="1"/>
    </x:xf>
    <x:xf numFmtId="0" fontId="6" fillId="0" borderId="45" xfId="0" applyNumberFormat="1" applyFont="1" applyFill="1" applyBorder="1" applyAlignment="1">
      <x:alignment horizontal="center" wrapText="1"/>
    </x:xf>
    <x:xf numFmtId="0" fontId="7" fillId="0" borderId="29" xfId="0" applyNumberFormat="1" applyFont="1" applyFill="1" applyBorder="1" applyAlignment="1">
      <x:alignment horizontal="center" wrapText="1"/>
    </x:xf>
    <x:xf numFmtId="0" fontId="6" fillId="0" borderId="30" xfId="0" applyNumberFormat="1" applyFont="1" applyFill="1" applyBorder="1" applyAlignment="1">
      <x:alignment horizontal="center" wrapText="1"/>
    </x:xf>
    <x:xf numFmtId="49" fontId="9" fillId="0" borderId="46" xfId="0" applyNumberFormat="1" applyFont="1" applyFill="1" applyBorder="1" applyAlignment="1">
      <x:alignment horizontal="right" wrapText="1"/>
    </x:xf>
    <x:xf numFmtId="0" fontId="7" fillId="0" borderId="47" xfId="0" applyNumberFormat="1" applyFont="1" applyFill="1" applyBorder="1" applyAlignment="1">
      <x:alignment wrapText="1"/>
    </x:xf>
    <x:xf numFmtId="0" fontId="7" fillId="0" borderId="33" xfId="0" applyNumberFormat="1" applyFont="1" applyFill="1" applyBorder="1" applyAlignment="1">
      <x:alignment horizontal="center" wrapText="1"/>
    </x:xf>
    <x:xf numFmtId="0" fontId="9" fillId="2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9" fillId="2" borderId="15" xfId="0" applyNumberFormat="1" applyFont="1" applyFill="1" applyBorder="1" applyAlignment="1">
      <x:alignment horizontal="center" wrapText="1"/>
    </x:xf>
    <x:xf numFmtId="0" fontId="9" fillId="2" borderId="16" xfId="0" applyNumberFormat="1" applyFont="1" applyFill="1" applyBorder="1" applyAlignment="1">
      <x:alignment horizontal="center" wrapText="1"/>
    </x:xf>
    <x:xf numFmtId="0" fontId="6" fillId="3" borderId="17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18" xfId="0" applyNumberFormat="1" applyFont="1" applyFill="1" applyBorder="1" applyAlignment="1">
      <x:alignment horizontal="center" vertical="center" wrapText="1"/>
    </x:xf>
    <x:xf numFmtId="0" fontId="7" fillId="0" borderId="28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7" fillId="0" borderId="31" xfId="0" applyNumberFormat="1" applyFont="1" applyFill="1" applyBorder="1" applyAlignment="1">
      <x:alignment wrapText="1"/>
    </x:xf>
    <x:xf numFmtId="0" fontId="7" fillId="0" borderId="31" xfId="0" applyNumberFormat="1" applyFont="1" applyFill="1" applyBorder="1" applyAlignment="1">
      <x:alignment horizontal="center" wrapText="1"/>
    </x:xf>
    <x:xf numFmtId="0" fontId="9" fillId="0" borderId="31" xfId="0" applyNumberFormat="1" applyFont="1" applyFill="1" applyBorder="1" applyAlignment="1">
      <x:alignment horizontal="center" wrapText="1"/>
    </x:xf>
    <x:xf numFmtId="0" fontId="7" fillId="0" borderId="53" xfId="0" applyNumberFormat="1" applyFont="1" applyFill="1" applyBorder="1" applyAlignment="1">
      <x:alignment horizontal="center" wrapText="1"/>
    </x:xf>
    <x:xf numFmtId="0" fontId="7" fillId="0" borderId="54" xfId="0" applyNumberFormat="1" applyFont="1" applyFill="1" applyBorder="1" applyAlignment="1">
      <x:alignment horizontal="center" wrapText="1"/>
    </x:xf>
    <x:xf numFmtId="0" fontId="9" fillId="2" borderId="48" xfId="0" applyNumberFormat="1" applyFont="1" applyFill="1" applyBorder="1" applyAlignment="1">
      <x:alignment wrapText="1"/>
    </x:xf>
    <x:xf numFmtId="0" fontId="7" fillId="0" borderId="45" xfId="0" applyNumberFormat="1" applyFont="1" applyFill="1" applyBorder="1" applyAlignment="1">
      <x:alignment wrapText="1"/>
    </x:xf>
    <x:xf numFmtId="0" fontId="7" fillId="2" borderId="45" xfId="0" applyNumberFormat="1" applyFont="1" applyFill="1" applyBorder="1" applyAlignment="1">
      <x:alignment horizontal="center" wrapText="1"/>
    </x:xf>
    <x:xf numFmtId="0" fontId="7" fillId="2" borderId="49" xfId="0" applyNumberFormat="1" applyFont="1" applyFill="1" applyBorder="1" applyAlignment="1">
      <x:alignment horizontal="center" wrapText="1"/>
    </x:xf>
    <x:xf numFmtId="0" fontId="7" fillId="0" borderId="50" xfId="0" applyNumberFormat="1" applyFont="1" applyFill="1" applyBorder="1" applyAlignment="1">
      <x:alignment wrapText="1"/>
    </x:xf>
    <x:xf numFmtId="0" fontId="7" fillId="0" borderId="51" xfId="0" applyNumberFormat="1" applyFont="1" applyFill="1" applyBorder="1" applyAlignment="1">
      <x:alignment wrapText="1"/>
    </x:xf>
    <x:xf numFmtId="0" fontId="7" fillId="4" borderId="30" xfId="0" applyNumberFormat="1" applyFont="1" applyFill="1" applyBorder="1" applyAlignment="1">
      <x:alignment horizontal="left" wrapText="1"/>
    </x:xf>
    <x:xf numFmtId="0" fontId="7" fillId="0" borderId="52" xfId="0" applyNumberFormat="1" applyFont="1" applyFill="1" applyBorder="1" applyAlignment="1">
      <x:alignment wrapText="1"/>
    </x:xf>
    <x:xf numFmtId="202" fontId="7" fillId="0" borderId="8" xfId="0" applyNumberFormat="1" applyFont="1" applyFill="1" applyBorder="1" applyAlignment="1">
      <x:alignment horizontal="center" wrapText="1"/>
    </x:xf>
    <x:xf numFmtId="202" fontId="7" fillId="0" borderId="6" xfId="0" applyNumberFormat="1" applyFont="1" applyFill="1" applyBorder="1" applyAlignment="1">
      <x:alignment horizontal="center" wrapText="1"/>
    </x:xf>
    <x:xf numFmtId="202" fontId="7" fillId="0" borderId="2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color rgb="FF0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30ccbebdc4bce" /><Relationship Type="http://schemas.openxmlformats.org/officeDocument/2006/relationships/theme" Target="/xl/theme/theme1.xml" Id="R6c1a257fa21a49a4" /><Relationship Type="http://schemas.openxmlformats.org/officeDocument/2006/relationships/sharedStrings" Target="/xl/sharedStrings.xml" Id="R5c0a7459b84c4849" /><Relationship Type="http://schemas.openxmlformats.org/officeDocument/2006/relationships/worksheet" Target="/xl/worksheets/sheet1.xml" Id="Re12f83860fb14e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99d91a0971a4631" /><Relationship Type="http://schemas.openxmlformats.org/officeDocument/2006/relationships/vmlDrawing" Target="/xl/drawings/vmldrawing.vml" Id="R87ad06a4e5b241c9" /></Relationships>
</file>

<file path=xl/worksheets/sheet1.xml><?xml version="1.0" encoding="utf-8"?>
<x:worksheet xmlns:x="http://schemas.openxmlformats.org/spreadsheetml/2006/main">
  <x:sheetFormatPr defaultColWidth="13.5" defaultRowHeight="15.75"/>
  <x:cols>
    <x:col min="1" max="1" width="22.5" style="1" customWidth="1"/>
    <x:col min="2" max="2" width="20.125" style="1" customWidth="1"/>
    <x:col min="3" max="3" width="15.75" style="1" customWidth="1"/>
    <x:col min="4" max="4" width="11.5" style="1" customWidth="1"/>
    <x:col min="5" max="5" width="7.25" style="1" customWidth="1"/>
    <x:col min="6" max="6" width="12.375" style="6" customWidth="1"/>
    <x:col min="7" max="7" width="11.375" style="6" customWidth="1"/>
    <x:col min="8" max="8" width="9" style="6" customWidth="1"/>
    <x:col min="9" max="16384" width="13.5" style="1" customWidth="0"/>
  </x:cols>
  <x:sheetData>
    <x:row r="1" ht="40" customHeight="1">
      <x:c r="A1" s="308" t="str">
        <x:v>Pump Control — PRELIMINARY POWER BUDGET</x:v>
      </x:c>
      <x:c r="B1" s="309"/>
      <x:c r="C1" s="309"/>
      <x:c r="D1" s="309"/>
      <x:c r="E1" s="309"/>
      <x:c r="F1" s="309"/>
      <x:c r="G1" s="309"/>
      <x:c r="H1" s="309"/>
    </x:row>
    <x:row r="2" ht="48" customHeight="1">
      <x:c r="A2" s="310" t="str">
        <x:v>Team number:</x:v>
      </x:c>
      <x:c r="B2" s="311" t="str">
        <x:v>Not provided</x:v>
      </x:c>
      <x:c r="C2" s="312"/>
      <x:c r="D2" s="313"/>
      <x:c r="E2" s="313"/>
      <x:c r="F2" s="314"/>
      <x:c r="G2" s="314"/>
      <x:c r="H2" s="314"/>
    </x:row>
    <x:row r="3" ht="48" customHeight="1">
      <x:c r="A3" s="310" t="str">
        <x:v>Project:</x:v>
      </x:c>
      <x:c r="B3" s="315" t="str">
        <x:v>Fill-A-Bot — Pump Control</x:v>
      </x:c>
      <x:c r="C3" s="315"/>
      <x:c r="D3" s="313"/>
      <x:c r="E3" s="313"/>
      <x:c r="F3" s="313"/>
      <x:c r="G3" s="313"/>
      <x:c r="H3" s="313"/>
    </x:row>
    <x:row r="4" ht="48" customHeight="1">
      <x:c r="A4" s="310" t="str">
        <x:v>Prepared by:</x:v>
      </x:c>
      <x:c r="B4" s="315" t="str">
        <x:v>Clay Belsher</x:v>
      </x:c>
      <x:c r="C4" s="315"/>
      <x:c r="D4" s="313"/>
      <x:c r="E4" s="313"/>
      <x:c r="F4" s="313"/>
      <x:c r="G4" s="313"/>
      <x:c r="H4" s="313"/>
    </x:row>
    <x:row r="5" ht="48" customHeight="1">
      <x:c r="A5" s="310" t="str">
        <x:v>Version:</x:v>
      </x:c>
      <x:c r="B5" s="315" t="str">
        <x:v>1 — design assumptions; no hardware measurements</x:v>
      </x:c>
      <x:c r="C5" s="315"/>
      <x:c r="D5" s="313"/>
      <x:c r="E5" s="313"/>
      <x:c r="F5" s="313"/>
      <x:c r="G5" s="313"/>
      <x:c r="H5" s="313"/>
    </x:row>
    <x:row r="6" ht="48" customHeight="1">
      <x:c r="A6" s="315"/>
      <x:c r="B6" s="315"/>
      <x:c r="C6" s="315"/>
      <x:c r="D6" s="313"/>
      <x:c r="E6" s="313"/>
      <x:c r="F6" s="313"/>
      <x:c r="G6" s="313"/>
      <x:c r="H6" s="313"/>
    </x:row>
    <x:row r="7" ht="48" hidden="1" customHeight="1">
      <x:c r="A7" s="316" t="str">
        <x:v>A. Proposed loads — assumed operating currents, NOT absolute maximum or startup ratings</x:v>
      </x:c>
      <x:c r="B7" s="317"/>
      <x:c r="C7" s="317"/>
      <x:c r="D7" s="317"/>
      <x:c r="E7" s="317"/>
      <x:c r="F7" s="317"/>
      <x:c r="G7" s="317"/>
      <x:c r="H7" s="318"/>
    </x:row>
    <x:row r="8" ht="65" customHeight="1">
      <x:c r="A8" s="319" t="str">
        <x:v>Major loads</x:v>
      </x:c>
      <x:c r="B8" s="320" t="str">
        <x:v>Component</x:v>
      </x:c>
      <x:c r="C8" s="320" t="str">
        <x:v>Part / basis</x:v>
      </x:c>
      <x:c r="D8" s="320" t="str">
        <x:v>Supply (V)</x:v>
      </x:c>
      <x:c r="E8" s="320" t="str">
        <x:v>Qty</x:v>
      </x:c>
      <x:c r="F8" s="320" t="str">
        <x:v>Assumed current (mA)</x:v>
      </x:c>
      <x:c r="G8" s="320" t="str">
        <x:v>Total current (mA)</x:v>
      </x:c>
      <x:c r="H8" s="320" t="str">
        <x:v>Unit</x:v>
      </x:c>
    </x:row>
    <x:row r="9" ht="48" customHeight="1">
      <x:c r="A9" s="321"/>
      <x:c r="B9" s="322" t="str">
        <x:v>Proposed pump</x:v>
      </x:c>
      <x:c r="C9" s="323" t="str">
        <x:v>R385 — 500mA PLACEHOLDER</x:v>
      </x:c>
      <x:c r="D9" s="324" t="n">
        <x:v>9</x:v>
      </x:c>
      <x:c r="E9" s="325" t="n">
        <x:v>1</x:v>
      </x:c>
      <x:c r="F9" s="325" t="n">
        <x:v>500</x:v>
      </x:c>
      <x:c r="G9" s="325" t="n">
        <x:f t="shared" ref="G9:G13" si="0">E9*F9</x:f>
        <x:v>500</x:v>
      </x:c>
      <x:c r="H9" s="326" t="str">
        <x:v>mA</x:v>
      </x:c>
    </x:row>
    <x:row r="10" ht="48" customHeight="1">
      <x:c r="A10" s="321"/>
      <x:c r="B10" s="327" t="str">
        <x:v>Whole Curiosity Nano</x:v>
      </x:c>
      <x:c r="C10" s="328" t="str">
        <x:v>PIC18F57Q43 board — allowance</x:v>
      </x:c>
      <x:c r="D10" s="329" t="n">
        <x:v>5</x:v>
      </x:c>
      <x:c r="E10" s="330" t="n">
        <x:v>1</x:v>
      </x:c>
      <x:c r="F10" s="330" t="n">
        <x:v>100</x:v>
      </x:c>
      <x:c r="G10" s="330" t="n">
        <x:f t="shared" si="0">E10*F10</x:f>
        <x:v>100</x:v>
      </x:c>
      <x:c r="H10" s="331" t="str">
        <x:v>mA</x:v>
      </x:c>
    </x:row>
    <x:row r="11" ht="48" customHeight="1">
      <x:c r="A11" s="321"/>
      <x:c r="B11" s="327" t="str">
        <x:v>External debug LED</x:v>
      </x:c>
      <x:c r="C11" s="328" t="str">
        <x:v>Upper-bound allowance; R3 = 1kΩ</x:v>
      </x:c>
      <x:c r="D11" s="329" t="n">
        <x:v>5</x:v>
      </x:c>
      <x:c r="E11" s="330" t="n">
        <x:v>1</x:v>
      </x:c>
      <x:c r="F11" s="330" t="n">
        <x:v>5</x:v>
      </x:c>
      <x:c r="G11" s="330" t="n">
        <x:f t="shared" si="0">E11*F11</x:f>
        <x:v>5</x:v>
      </x:c>
      <x:c r="H11" s="331" t="str">
        <x:v>mA</x:v>
      </x:c>
    </x:row>
    <x:row r="12" ht="48" customHeight="1">
      <x:c r="A12" s="321"/>
      <x:c r="B12" s="327" t="str">
        <x:v>Other control loads</x:v>
      </x:c>
      <x:c r="C12" s="328" t="str">
        <x:v>Pull-ups / gate-drive allowance</x:v>
      </x:c>
      <x:c r="D12" s="332" t="n">
        <x:v>5</x:v>
      </x:c>
      <x:c r="E12" s="330" t="n">
        <x:v>1</x:v>
      </x:c>
      <x:c r="F12" s="330" t="n">
        <x:v>1</x:v>
      </x:c>
      <x:c r="G12" s="330" t="n">
        <x:f t="shared" si="0">E12*F12</x:f>
        <x:v>1</x:v>
      </x:c>
      <x:c r="H12" s="331" t="str">
        <x:v>mA</x:v>
      </x:c>
    </x:row>
    <x:row r="13" ht="48" customHeight="1">
      <x:c r="A13" s="321"/>
      <x:c r="B13" s="327"/>
      <x:c r="C13" s="328"/>
      <x:c r="D13" s="329"/>
      <x:c r="E13" s="330"/>
      <x:c r="F13" s="330"/>
      <x:c r="G13" s="330">
        <x:f t="shared" si="0"/>
      </x:c>
      <x:c r="H13" s="331"/>
    </x:row>
    <x:row r="14" ht="48" customHeight="1">
      <x:c r="A14" s="321"/>
      <x:c r="B14" s="333"/>
      <x:c r="C14" s="334"/>
      <x:c r="D14" s="335"/>
      <x:c r="E14" s="336"/>
      <x:c r="F14" s="336"/>
      <x:c r="G14" s="336"/>
      <x:c r="H14" s="337"/>
    </x:row>
    <x:row r="15" ht="48" customHeight="1">
      <x:c r="A15" s="338"/>
      <x:c r="B15" s="315"/>
      <x:c r="C15" s="315"/>
      <x:c r="D15" s="313"/>
      <x:c r="E15" s="339"/>
      <x:c r="F15" s="339"/>
      <x:c r="G15" s="340"/>
      <x:c r="H15" s="341"/>
    </x:row>
    <x:row r="16" ht="65" customHeight="1">
      <x:c r="A16" s="342" t="str">
        <x:v>Motor supply rail</x:v>
      </x:c>
      <x:c r="B16" s="320" t="str">
        <x:v>Component</x:v>
      </x:c>
      <x:c r="C16" s="320" t="str">
        <x:v>Part / basis</x:v>
      </x:c>
      <x:c r="D16" s="320" t="str">
        <x:v>Supply (V)</x:v>
      </x:c>
      <x:c r="E16" s="343" t="str">
        <x:v>Qty</x:v>
      </x:c>
      <x:c r="F16" s="343" t="str">
        <x:v>Assumed current (mA)</x:v>
      </x:c>
      <x:c r="G16" s="343" t="str">
        <x:v>Total current (mA)</x:v>
      </x:c>
      <x:c r="H16" s="320" t="str">
        <x:v>Unit</x:v>
      </x:c>
    </x:row>
    <x:row r="17" ht="48" customHeight="1">
      <x:c r="A17" s="321"/>
      <x:c r="B17" s="344" t="str">
        <x:v>Proposed pump</x:v>
      </x:c>
      <x:c r="C17" s="344" t="str">
        <x:v>Linked to assumptions above</x:v>
      </x:c>
      <x:c r="D17" s="345" t="n">
        <x:v>9</x:v>
      </x:c>
      <x:c r="E17" s="346" t="n">
        <x:v>1</x:v>
      </x:c>
      <x:c r="F17" s="346" t="n">
        <x:f>F9</x:f>
        <x:v>500</x:v>
      </x:c>
      <x:c r="G17" s="346" t="n">
        <x:f t="shared" ref="G17:G19" si="1">G9</x:f>
        <x:v>500</x:v>
      </x:c>
      <x:c r="H17" s="345" t="str">
        <x:v>mA</x:v>
      </x:c>
    </x:row>
    <x:row r="18" ht="48" customHeight="1">
      <x:c r="A18" s="321"/>
      <x:c r="B18" s="328"/>
      <x:c r="C18" s="328"/>
      <x:c r="D18" s="329"/>
      <x:c r="E18" s="330"/>
      <x:c r="F18" s="330"/>
      <x:c r="G18" s="330">
        <x:f t="shared" si="1"/>
      </x:c>
      <x:c r="H18" s="329"/>
    </x:row>
    <x:row r="19" ht="48" customHeight="1">
      <x:c r="A19" s="321"/>
      <x:c r="B19" s="347"/>
      <x:c r="C19" s="347"/>
      <x:c r="D19" s="348"/>
      <x:c r="E19" s="349"/>
      <x:c r="F19" s="349"/>
      <x:c r="G19" s="349">
        <x:f t="shared" si="1"/>
      </x:c>
      <x:c r="H19" s="348"/>
    </x:row>
    <x:row r="20" ht="48" customHeight="1">
      <x:c r="A20" s="321"/>
      <x:c r="B20" s="312"/>
      <x:c r="C20" s="312"/>
      <x:c r="D20" s="350" t="str">
        <x:v>Operating-current subtotal</x:v>
      </x:c>
      <x:c r="E20" s="351"/>
      <x:c r="F20" s="351"/>
      <x:c r="G20" s="346" t="n">
        <x:f>SUM(G17:G19)</x:f>
        <x:v>500</x:v>
      </x:c>
      <x:c r="H20" s="345"/>
    </x:row>
    <x:row r="21" ht="48" customHeight="1">
      <x:c r="A21" s="321"/>
      <x:c r="B21" s="312"/>
      <x:c r="C21" s="312"/>
      <x:c r="D21" s="352" t="str">
        <x:v>Planning margin</x:v>
      </x:c>
      <x:c r="E21" s="353"/>
      <x:c r="F21" s="353"/>
      <x:c r="G21" s="354" t="n">
        <x:v>0.25</x:v>
      </x:c>
      <x:c r="H21" s="355"/>
    </x:row>
    <x:row r="22" ht="48" customHeight="1">
      <x:c r="A22" s="356"/>
      <x:c r="B22" s="312"/>
      <x:c r="C22" s="312"/>
      <x:c r="D22" s="350" t="str">
        <x:v>Motor rail with margin</x:v>
      </x:c>
      <x:c r="E22" s="351"/>
      <x:c r="F22" s="351"/>
      <x:c r="G22" s="346" t="n">
        <x:f>G20*(1+G21)</x:f>
        <x:v>625</x:v>
      </x:c>
      <x:c r="H22" s="345" t="str">
        <x:v>mA</x:v>
      </x:c>
    </x:row>
    <x:row r="23" ht="48" customHeight="1">
      <x:c r="A23" s="357"/>
      <x:c r="B23" s="358"/>
      <x:c r="C23" s="358"/>
      <x:c r="D23" s="314"/>
      <x:c r="E23" s="359"/>
      <x:c r="F23" s="359"/>
      <x:c r="G23" s="360"/>
      <x:c r="H23" s="361"/>
    </x:row>
    <x:row r="24" ht="48" customHeight="1">
      <x:c r="A24" s="362" t="str">
        <x:v>Motor rail</x:v>
      </x:c>
      <x:c r="B24" s="363" t="str">
        <x:v>Direct adapter feed; no motor regulator</x:v>
      </x:c>
      <x:c r="C24" s="363"/>
      <x:c r="D24" s="348"/>
      <x:c r="E24" s="349"/>
      <x:c r="F24" s="349"/>
      <x:c r="G24" s="349"/>
      <x:c r="H24" s="348"/>
    </x:row>
    <x:row r="25" ht="48" customHeight="1">
      <x:c r="A25" s="364"/>
      <x:c r="B25" s="365" t="str">
        <x:v>Startup/stall current UNKNOWN — margin does not establish adequacy</x:v>
      </x:c>
      <x:c r="C25" s="366"/>
      <x:c r="D25" s="366"/>
      <x:c r="E25" s="367"/>
      <x:c r="F25" s="367"/>
      <x:c r="G25" s="346"/>
      <x:c r="H25" s="345"/>
    </x:row>
    <x:row r="26" ht="48" customHeight="1">
      <x:c r="A26" s="364"/>
      <x:c r="B26" s="368"/>
      <x:c r="C26" s="311"/>
      <x:c r="D26" s="311"/>
      <x:c r="E26" s="369"/>
      <x:c r="F26" s="369"/>
      <x:c r="G26" s="359"/>
      <x:c r="H26" s="314"/>
    </x:row>
    <x:row r="27" ht="65" customHeight="1">
      <x:c r="A27" s="370" t="str">
        <x:v>5V control rail</x:v>
      </x:c>
      <x:c r="B27" s="320" t="str">
        <x:v>Component</x:v>
      </x:c>
      <x:c r="C27" s="320" t="str">
        <x:v>Part / basis</x:v>
      </x:c>
      <x:c r="D27" s="320" t="str">
        <x:v>Supply (V)</x:v>
      </x:c>
      <x:c r="E27" s="343" t="str">
        <x:v>Qty</x:v>
      </x:c>
      <x:c r="F27" s="343" t="str">
        <x:v>Assumed current (mA)</x:v>
      </x:c>
      <x:c r="G27" s="343" t="str">
        <x:v>Total current (mA)</x:v>
      </x:c>
      <x:c r="H27" s="320" t="str">
        <x:v>Unit</x:v>
      </x:c>
    </x:row>
    <x:row r="28" ht="48" customHeight="1">
      <x:c r="A28" s="321"/>
      <x:c r="B28" s="344" t="str">
        <x:v>Whole Curiosity Nano</x:v>
      </x:c>
      <x:c r="C28" s="344" t="str">
        <x:v>Includes board-level allowance</x:v>
      </x:c>
      <x:c r="D28" s="345" t="n">
        <x:v>5</x:v>
      </x:c>
      <x:c r="E28" s="346" t="n">
        <x:v>1</x:v>
      </x:c>
      <x:c r="F28" s="346" t="n">
        <x:f>F10</x:f>
        <x:v>100</x:v>
      </x:c>
      <x:c r="G28" s="346" t="n">
        <x:f t="shared" ref="G28:G30" si="2">E28*F28</x:f>
        <x:v>100</x:v>
      </x:c>
      <x:c r="H28" s="345" t="str">
        <x:v>mA</x:v>
      </x:c>
    </x:row>
    <x:row r="29" ht="48" customHeight="1">
      <x:c r="A29" s="321"/>
      <x:c r="B29" s="328" t="str">
        <x:v>External debug LED</x:v>
      </x:c>
      <x:c r="C29" s="328" t="str">
        <x:v>R3 current allowance</x:v>
      </x:c>
      <x:c r="D29" s="329" t="n">
        <x:v>5</x:v>
      </x:c>
      <x:c r="E29" s="330" t="n">
        <x:v>1</x:v>
      </x:c>
      <x:c r="F29" s="330" t="n">
        <x:f>F11</x:f>
        <x:v>5</x:v>
      </x:c>
      <x:c r="G29" s="330" t="n">
        <x:f t="shared" si="2">E29*F29</x:f>
        <x:v>5</x:v>
      </x:c>
      <x:c r="H29" s="329" t="str">
        <x:v>mA</x:v>
      </x:c>
    </x:row>
    <x:row r="30" ht="48" customHeight="1">
      <x:c r="A30" s="321"/>
      <x:c r="B30" s="347" t="str">
        <x:v>Other control loads</x:v>
      </x:c>
      <x:c r="C30" s="347" t="str">
        <x:v>Pull-ups / gate-drive allowance</x:v>
      </x:c>
      <x:c r="D30" s="348" t="n">
        <x:v>5</x:v>
      </x:c>
      <x:c r="E30" s="349" t="n">
        <x:v>1</x:v>
      </x:c>
      <x:c r="F30" s="349" t="n">
        <x:f>F12</x:f>
        <x:v>1</x:v>
      </x:c>
      <x:c r="G30" s="349" t="n">
        <x:f t="shared" si="2">E30*F30</x:f>
        <x:v>1</x:v>
      </x:c>
      <x:c r="H30" s="348" t="str">
        <x:v>mA</x:v>
      </x:c>
    </x:row>
    <x:row r="31" ht="48" customHeight="1">
      <x:c r="A31" s="321"/>
      <x:c r="B31" s="312"/>
      <x:c r="C31" s="312"/>
      <x:c r="D31" s="350" t="str">
        <x:v>Control-load subtotal</x:v>
      </x:c>
      <x:c r="E31" s="351"/>
      <x:c r="F31" s="351"/>
      <x:c r="G31" s="346" t="n">
        <x:f>SUM(G28:G30)</x:f>
        <x:v>106</x:v>
      </x:c>
      <x:c r="H31" s="345"/>
    </x:row>
    <x:row r="32" ht="48" customHeight="1">
      <x:c r="A32" s="321"/>
      <x:c r="B32" s="312"/>
      <x:c r="C32" s="312"/>
      <x:c r="D32" s="352" t="str">
        <x:v>Planning margin</x:v>
      </x:c>
      <x:c r="E32" s="353"/>
      <x:c r="F32" s="353"/>
      <x:c r="G32" s="354" t="n">
        <x:f>G21</x:f>
        <x:v>0.25</x:v>
      </x:c>
      <x:c r="H32" s="355"/>
    </x:row>
    <x:row r="33" ht="48" customHeight="1">
      <x:c r="A33" s="356"/>
      <x:c r="B33" s="312"/>
      <x:c r="C33" s="312"/>
      <x:c r="D33" s="350" t="str">
        <x:v>5V rail with margin</x:v>
      </x:c>
      <x:c r="E33" s="351"/>
      <x:c r="F33" s="351"/>
      <x:c r="G33" s="346" t="n">
        <x:f>G31*(1+G32)</x:f>
        <x:v>132.5</x:v>
      </x:c>
      <x:c r="H33" s="345" t="str">
        <x:v>mA</x:v>
      </x:c>
    </x:row>
    <x:row r="34" ht="48" customHeight="1">
      <x:c r="A34" s="357"/>
      <x:c r="B34" s="358"/>
      <x:c r="C34" s="358"/>
      <x:c r="D34" s="314"/>
      <x:c r="E34" s="359"/>
      <x:c r="F34" s="359"/>
      <x:c r="G34" s="371"/>
      <x:c r="H34" s="372"/>
    </x:row>
    <x:row r="35" ht="48" customHeight="1">
      <x:c r="A35" s="362" t="str">
        <x:v>Regulator</x:v>
      </x:c>
      <x:c r="B35" s="363" t="str">
        <x:v>L7805CV</x:v>
      </x:c>
      <x:c r="C35" s="363" t="str">
        <x:v>Output capacity not validated thermally</x:v>
      </x:c>
      <x:c r="D35" s="348" t="str">
        <x:v>5V output</x:v>
      </x:c>
      <x:c r="E35" s="349"/>
      <x:c r="F35" s="349"/>
      <x:c r="G35" s="349"/>
      <x:c r="H35" s="348"/>
    </x:row>
    <x:row r="36" ht="48" customHeight="1">
      <x:c r="A36" s="364"/>
      <x:c r="B36" s="365" t="str">
        <x:v>5V rail headroom: pending regulator thermal and power-configuration checks</x:v>
      </x:c>
      <x:c r="C36" s="365"/>
      <x:c r="D36" s="365"/>
      <x:c r="E36" s="351"/>
      <x:c r="F36" s="351"/>
      <x:c r="G36" s="346"/>
      <x:c r="H36" s="345"/>
    </x:row>
    <x:row r="37" ht="48" customHeight="1">
      <x:c r="A37" s="373"/>
      <x:c r="B37" s="374"/>
      <x:c r="C37" s="375"/>
      <x:c r="D37" s="375"/>
      <x:c r="E37" s="376"/>
      <x:c r="F37" s="376"/>
      <x:c r="G37" s="377"/>
      <x:c r="H37" s="378"/>
    </x:row>
    <x:row r="38" ht="65" customHeight="1">
      <x:c r="A38" s="370" t="str">
        <x:v>Regulator input</x:v>
      </x:c>
      <x:c r="B38" s="320" t="str">
        <x:v>Component</x:v>
      </x:c>
      <x:c r="C38" s="320" t="str">
        <x:v>Part / basis</x:v>
      </x:c>
      <x:c r="D38" s="320" t="str">
        <x:v>Supply (V)</x:v>
      </x:c>
      <x:c r="E38" s="343" t="str">
        <x:v>Qty</x:v>
      </x:c>
      <x:c r="F38" s="343" t="str">
        <x:v>Assumed current (mA)</x:v>
      </x:c>
      <x:c r="G38" s="343" t="str">
        <x:v>Total current (mA)</x:v>
      </x:c>
      <x:c r="H38" s="320" t="str">
        <x:v>Unit</x:v>
      </x:c>
    </x:row>
    <x:row r="39" ht="48" customHeight="1">
      <x:c r="A39" s="321"/>
      <x:c r="B39" s="344" t="str">
        <x:v>Control load reflected to input</x:v>
      </x:c>
      <x:c r="C39" s="344" t="str">
        <x:v>Linear regulator: input load ≈ output load</x:v>
      </x:c>
      <x:c r="D39" s="345" t="n">
        <x:v>9</x:v>
      </x:c>
      <x:c r="E39" s="346" t="n">
        <x:v>1</x:v>
      </x:c>
      <x:c r="F39" s="346" t="n">
        <x:f>G31</x:f>
        <x:v>106</x:v>
      </x:c>
      <x:c r="G39" s="346" t="n">
        <x:f>E39*F39</x:f>
        <x:v>106</x:v>
      </x:c>
      <x:c r="H39" s="345" t="str">
        <x:v>mA</x:v>
      </x:c>
    </x:row>
    <x:row r="40" ht="48" customHeight="1">
      <x:c r="A40" s="321"/>
      <x:c r="B40" s="347" t="str">
        <x:v>Regulator own current</x:v>
      </x:c>
      <x:c r="C40" s="347" t="str">
        <x:v>10mA ASSUMPTION, not verified maximum</x:v>
      </x:c>
      <x:c r="D40" s="348" t="n">
        <x:v>9</x:v>
      </x:c>
      <x:c r="E40" s="349" t="n">
        <x:v>1</x:v>
      </x:c>
      <x:c r="F40" s="349" t="n">
        <x:v>10</x:v>
      </x:c>
      <x:c r="G40" s="349" t="n">
        <x:f t="shared" ref="G40" si="3">E40*F40</x:f>
        <x:v>10</x:v>
      </x:c>
      <x:c r="H40" s="348" t="str">
        <x:v>mA</x:v>
      </x:c>
    </x:row>
    <x:row r="41" ht="48" customHeight="1">
      <x:c r="A41" s="321"/>
      <x:c r="B41" s="312"/>
      <x:c r="C41" s="379"/>
      <x:c r="D41" s="380" t="str">
        <x:v>Regulator input subtotal</x:v>
      </x:c>
      <x:c r="E41" s="381"/>
      <x:c r="F41" s="382"/>
      <x:c r="G41" s="346" t="n">
        <x:f>SUM(G39:G40)</x:f>
        <x:v>116</x:v>
      </x:c>
      <x:c r="H41" s="345"/>
    </x:row>
    <x:row r="42" ht="48" customHeight="1">
      <x:c r="A42" s="321"/>
      <x:c r="B42" s="312"/>
      <x:c r="C42" s="383"/>
      <x:c r="D42" s="384" t="str">
        <x:v>Planning margin</x:v>
      </x:c>
      <x:c r="E42" s="385"/>
      <x:c r="F42" s="386"/>
      <x:c r="G42" s="354" t="n">
        <x:f>G21</x:f>
        <x:v>0.25</x:v>
      </x:c>
      <x:c r="H42" s="355"/>
    </x:row>
    <x:row r="43" ht="48" customHeight="1">
      <x:c r="A43" s="321"/>
      <x:c r="B43" s="312"/>
      <x:c r="C43" s="383"/>
      <x:c r="D43" s="380" t="str">
        <x:v>Regulator input with margin</x:v>
      </x:c>
      <x:c r="E43" s="381"/>
      <x:c r="F43" s="382"/>
      <x:c r="G43" s="346" t="n">
        <x:f>G41*(1+G42)</x:f>
        <x:v>145</x:v>
      </x:c>
      <x:c r="H43" s="345" t="str">
        <x:v>mA</x:v>
      </x:c>
    </x:row>
    <x:row r="44" ht="48" customHeight="1">
      <x:c r="A44" s="357"/>
      <x:c r="B44" s="312"/>
      <x:c r="C44" s="387"/>
      <x:c r="D44" s="314"/>
      <x:c r="E44" s="359"/>
      <x:c r="F44" s="359"/>
      <x:c r="G44" s="388"/>
      <x:c r="H44" s="313"/>
    </x:row>
    <x:row r="45" ht="48" customHeight="1">
      <x:c r="A45" s="389" t="str">
        <x:v>Input voltage</x:v>
      </x:c>
      <x:c r="B45" s="390"/>
      <x:c r="C45" s="390"/>
      <x:c r="D45" s="391"/>
      <x:c r="E45" s="392"/>
      <x:c r="F45" s="392"/>
      <x:c r="G45" s="392" t="n">
        <x:v>9</x:v>
      </x:c>
      <x:c r="H45" s="391" t="str">
        <x:v>V</x:v>
      </x:c>
    </x:row>
    <x:row r="46" ht="48" customHeight="1">
      <x:c r="A46" s="312"/>
      <x:c r="B46" s="393" t="str">
        <x:v>Requirement basis: 9V adapter; current schematic still shows 12V</x:v>
      </x:c>
      <x:c r="C46" s="394"/>
      <x:c r="D46" s="394"/>
      <x:c r="E46" s="395"/>
      <x:c r="F46" s="396"/>
      <x:c r="G46" s="346"/>
      <x:c r="H46" s="345"/>
    </x:row>
    <x:row r="47" s="29" customFormat="1" ht="48" customHeight="1">
      <x:c r="A47" s="397"/>
      <x:c r="B47" s="397"/>
      <x:c r="C47" s="397"/>
      <x:c r="D47" s="397"/>
      <x:c r="E47" s="398"/>
      <x:c r="F47" s="399"/>
      <x:c r="G47" s="400"/>
      <x:c r="H47" s="401"/>
    </x:row>
    <x:row r="48" ht="65" customHeight="1">
      <x:c r="A48" s="402" t="str">
        <x:v>External source</x:v>
      </x:c>
      <x:c r="B48" s="403" t="str">
        <x:v>Component</x:v>
      </x:c>
      <x:c r="C48" s="403" t="str">
        <x:v>Part / basis</x:v>
      </x:c>
      <x:c r="D48" s="403" t="str">
        <x:v>Supply (V)</x:v>
      </x:c>
      <x:c r="E48" s="404" t="str">
        <x:v>Qty</x:v>
      </x:c>
      <x:c r="F48" s="404" t="str">
        <x:v>Assumed current (mA)</x:v>
      </x:c>
      <x:c r="G48" s="404" t="str">
        <x:v>Total current (mA)</x:v>
      </x:c>
      <x:c r="H48" s="405" t="str">
        <x:v>Unit</x:v>
      </x:c>
    </x:row>
    <x:row r="49" ht="48" customHeight="1">
      <x:c r="A49" s="406" t="str">
        <x:v>Adapter selection</x:v>
      </x:c>
      <x:c r="B49" s="407" t="str">
        <x:v>9V DC adapter — model pending</x:v>
      </x:c>
      <x:c r="C49" s="345" t="str">
        <x:v>Current capacity not selected</x:v>
      </x:c>
      <x:c r="D49" s="345" t="n">
        <x:v>9</x:v>
      </x:c>
      <x:c r="E49" s="346" t="n">
        <x:v>9</x:v>
      </x:c>
      <x:c r="F49" s="346"/>
      <x:c r="G49" s="346" t="str">
        <x:v>PENDING</x:v>
      </x:c>
      <x:c r="H49" s="408" t="str">
        <x:v>mA</x:v>
      </x:c>
    </x:row>
    <x:row r="50" ht="48" customHeight="1">
      <x:c r="A50" s="409"/>
      <x:c r="B50" s="410"/>
      <x:c r="C50" s="410"/>
      <x:c r="D50" s="329"/>
      <x:c r="E50" s="330"/>
      <x:c r="F50" s="330"/>
      <x:c r="G50" s="330"/>
      <x:c r="H50" s="331"/>
    </x:row>
    <x:row r="51" ht="48" customHeight="1">
      <x:c r="A51" s="411" t="str">
        <x:v>Source load</x:v>
      </x:c>
      <x:c r="B51" s="410" t="str">
        <x:v>Motor operating load</x:v>
      </x:c>
      <x:c r="C51" s="410"/>
      <x:c r="D51" s="329"/>
      <x:c r="E51" s="330"/>
      <x:c r="F51" s="330"/>
      <x:c r="G51" s="330" t="n">
        <x:f t="shared" ref="G51:G53" si="4">G20</x:f>
        <x:v>500</x:v>
      </x:c>
      <x:c r="H51" s="331" t="str">
        <x:v>mA</x:v>
      </x:c>
    </x:row>
    <x:row r="52" ht="48" customHeight="1">
      <x:c r="A52" s="412"/>
      <x:c r="B52" s="410" t="str">
        <x:v>Linear-regulator input load</x:v>
      </x:c>
      <x:c r="C52" s="410"/>
      <x:c r="D52" s="329"/>
      <x:c r="E52" s="330"/>
      <x:c r="F52" s="330"/>
      <x:c r="G52" s="330" t="n">
        <x:f t="shared" si="4">G41</x:f>
        <x:v>116</x:v>
      </x:c>
      <x:c r="H52" s="331" t="str">
        <x:v>mA</x:v>
      </x:c>
    </x:row>
    <x:row r="53" ht="48" customHeight="1">
      <x:c r="A53" s="413"/>
      <x:c r="B53" s="390" t="str">
        <x:v>Total operating load + margin</x:v>
      </x:c>
      <x:c r="C53" s="390"/>
      <x:c r="D53" s="391"/>
      <x:c r="E53" s="392"/>
      <x:c r="F53" s="392"/>
      <x:c r="G53" s="392" t="n">
        <x:f t="shared" si="4">(G51+G52)*(1+G21)</x:f>
        <x:v>770</x:v>
      </x:c>
      <x:c r="H53" s="414" t="str">
        <x:v>mA</x:v>
      </x:c>
    </x:row>
    <x:row r="54" ht="48" customHeight="1">
      <x:c r="A54" s="415" t="str">
        <x:v>Available headroom</x:v>
      </x:c>
      <x:c r="B54" s="416"/>
      <x:c r="C54" s="416"/>
      <x:c r="D54" s="416"/>
      <x:c r="E54" s="417"/>
      <x:c r="F54" s="418"/>
      <x:c r="G54" s="419" t="str">
        <x:v>UNKNOWN</x:v>
      </x:c>
      <x:c r="H54" s="420"/>
    </x:row>
    <x:row r="55" ht="48" customHeight="1">
      <x:c r="A55" s="421"/>
      <x:c r="B55" s="313"/>
      <x:c r="C55" s="313"/>
      <x:c r="D55" s="313"/>
      <x:c r="E55" s="339"/>
      <x:c r="F55" s="339"/>
      <x:c r="G55" s="422"/>
      <x:c r="H55" s="423"/>
      <x:c r="I55" s="29"/>
    </x:row>
    <x:row r="56" ht="48" customHeight="1">
      <x:c r="A56" s="402" t="str">
        <x:v>Power / heat</x:v>
      </x:c>
      <x:c r="B56" s="403"/>
      <x:c r="C56" s="403"/>
      <x:c r="D56" s="403"/>
      <x:c r="E56" s="404"/>
      <x:c r="F56" s="404"/>
      <x:c r="G56" s="404"/>
      <x:c r="H56" s="405"/>
    </x:row>
    <x:row r="57" ht="48" customHeight="1">
      <x:c r="A57" s="406"/>
      <x:c r="B57" s="407" t="str">
        <x:v>Estimated adapter input power</x:v>
      </x:c>
      <x:c r="C57" s="345"/>
      <x:c r="D57" s="345"/>
      <x:c r="E57" s="346"/>
      <x:c r="F57" s="346"/>
      <x:c r="G57" s="452" t="n">
        <x:f>G45*(G51+G52)/1000</x:f>
        <x:v>5.544</x:v>
      </x:c>
      <x:c r="H57" s="408" t="str">
        <x:v>W</x:v>
      </x:c>
      <x:c r="J57" s="29"/>
    </x:row>
    <x:row r="58" ht="48" customHeight="1">
      <x:c r="A58" s="409"/>
      <x:c r="B58" s="410"/>
      <x:c r="C58" s="410"/>
      <x:c r="D58" s="329"/>
      <x:c r="E58" s="330"/>
      <x:c r="F58" s="330"/>
      <x:c r="G58" s="453"/>
      <x:c r="H58" s="331"/>
    </x:row>
    <x:row r="59" ht="48" customHeight="1">
      <x:c r="A59" s="411"/>
      <x:c r="B59" s="410" t="str">
        <x:v>5V control output power</x:v>
      </x:c>
      <x:c r="C59" s="410"/>
      <x:c r="D59" s="329"/>
      <x:c r="E59" s="330"/>
      <x:c r="F59" s="330"/>
      <x:c r="G59" s="453" t="n">
        <x:f>5*G31/1000</x:f>
        <x:v>0.53</x:v>
      </x:c>
      <x:c r="H59" s="331" t="str">
        <x:v>W</x:v>
      </x:c>
    </x:row>
    <x:row r="60" ht="48" customHeight="1">
      <x:c r="A60" s="412"/>
      <x:c r="B60" s="410" t="str">
        <x:v>Regulator heat at selected input</x:v>
      </x:c>
      <x:c r="C60" s="410"/>
      <x:c r="D60" s="329"/>
      <x:c r="E60" s="330"/>
      <x:c r="F60" s="330"/>
      <x:c r="G60" s="453" t="n">
        <x:f>(G45-5)*G31/1000+G45*F40/1000</x:f>
        <x:v>0.514</x:v>
      </x:c>
      <x:c r="H60" s="331" t="str">
        <x:v>W</x:v>
      </x:c>
    </x:row>
    <x:row r="61" ht="48" customHeight="1">
      <x:c r="A61" s="413"/>
      <x:c r="B61" s="347" t="str">
        <x:v>Regulator heat at original 12V assumption</x:v>
      </x:c>
      <x:c r="C61" s="347"/>
      <x:c r="D61" s="348"/>
      <x:c r="E61" s="349"/>
      <x:c r="F61" s="349"/>
      <x:c r="G61" s="454" t="n">
        <x:f>(12-5)*G31/1000+12*F40/1000</x:f>
        <x:v>0.862</x:v>
      </x:c>
      <x:c r="H61" s="424" t="str">
        <x:v>W</x:v>
      </x:c>
    </x:row>
    <x:row r="62" ht="48" customHeight="1">
      <x:c r="A62" s="425"/>
      <x:c r="B62" s="426" t="str">
        <x:v>Heat values use operating assumptions, not the 25% margin.</x:v>
      </x:c>
      <x:c r="C62" s="427"/>
      <x:c r="D62" s="427"/>
      <x:c r="E62" s="427"/>
      <x:c r="F62" s="427"/>
      <x:c r="G62" s="428"/>
      <x:c r="H62" s="420"/>
    </x:row>
    <x:row r="63" ht="48" customHeight="1">
      <x:c r="A63" s="356"/>
      <x:c r="B63" s="312"/>
      <x:c r="C63" s="312"/>
      <x:c r="D63" s="311"/>
      <x:c r="E63" s="314"/>
      <x:c r="F63" s="314"/>
      <x:c r="G63" s="314"/>
      <x:c r="H63" s="314"/>
    </x:row>
    <x:row r="64" ht="48" customHeight="1">
      <x:c r="A64" s="429" t="str">
        <x:v>Not applicable</x:v>
      </x:c>
      <x:c r="B64" s="430"/>
      <x:c r="C64" s="430"/>
      <x:c r="D64" s="430"/>
      <x:c r="E64" s="430"/>
      <x:c r="F64" s="430"/>
      <x:c r="G64" s="431"/>
      <x:c r="H64" s="432"/>
      <x:c r="I64" s="29"/>
    </x:row>
    <x:row r="65" ht="48" customHeight="1">
      <x:c r="A65" s="433"/>
      <x:c r="B65" s="434" t="str">
        <x:v>No battery or separate 3.3V rail is budgeted.</x:v>
      </x:c>
      <x:c r="C65" s="434"/>
      <x:c r="D65" s="435"/>
      <x:c r="E65" s="435"/>
      <x:c r="F65" s="435"/>
      <x:c r="G65" s="435"/>
      <x:c r="H65" s="436"/>
    </x:row>
    <x:row r="66" ht="48" customHeight="1">
      <x:c r="A66" s="437"/>
      <x:c r="B66" s="347" t="str">
        <x:v>No teammates’ boards are powered through this board’s ribbon connector.</x:v>
      </x:c>
      <x:c r="C66" s="347"/>
      <x:c r="D66" s="348"/>
      <x:c r="E66" s="348"/>
      <x:c r="F66" s="348"/>
      <x:c r="G66" s="348"/>
      <x:c r="H66" s="424"/>
    </x:row>
    <x:row r="67" ht="48" customHeight="1">
      <x:c r="A67" s="438"/>
      <x:c r="B67" s="439"/>
      <x:c r="C67" s="439"/>
      <x:c r="D67" s="440"/>
      <x:c r="E67" s="440"/>
      <x:c r="F67" s="441"/>
      <x:c r="G67" s="442"/>
      <x:c r="H67" s="443"/>
    </x:row>
    <x:row r="68" ht="48" customHeight="1">
      <x:c r="A68" s="312"/>
      <x:c r="B68" s="312"/>
      <x:c r="C68" s="312"/>
      <x:c r="D68" s="314"/>
      <x:c r="E68" s="314"/>
      <x:c r="F68" s="401"/>
      <x:c r="G68" s="314"/>
      <x:c r="H68" s="314"/>
    </x:row>
    <x:row r="69" ht="48" customHeight="1">
      <x:c r="A69" s="444" t="str">
        <x:v>Basis / limitations</x:v>
      </x:c>
      <x:c r="B69" s="445"/>
      <x:c r="C69" s="445"/>
      <x:c r="D69" s="445"/>
      <x:c r="E69" s="445"/>
      <x:c r="F69" s="445"/>
      <x:c r="G69" s="446"/>
      <x:c r="H69" s="447"/>
    </x:row>
    <x:row r="70" ht="48" customHeight="1">
      <x:c r="A70" s="448" t="str">
        <x:v>All currents are planning assumptions. Pump startup/stall and future H-bridge demand are unknown; no supply is approved.</x:v>
      </x:c>
      <x:c r="B70" s="312"/>
      <x:c r="C70" s="312"/>
      <x:c r="D70" s="312"/>
      <x:c r="E70" s="312"/>
      <x:c r="F70" s="312"/>
      <x:c r="G70" s="312"/>
      <x:c r="H70" s="449"/>
    </x:row>
    <x:row r="71" ht="48" customHeight="1">
      <x:c r="A71" s="450" t="str">
        <x:v>Nano allowance = complete board, not bare PIC. External 5V/USB power setup, actual current, and regulator heat require verification.</x:v>
      </x:c>
      <x:c r="B71" s="439"/>
      <x:c r="C71" s="439"/>
      <x:c r="D71" s="439"/>
      <x:c r="E71" s="439"/>
      <x:c r="F71" s="439"/>
      <x:c r="G71" s="439"/>
      <x:c r="H71" s="451"/>
    </x:row>
  </x:sheetData>
  <x:mergeCells>
    <x:mergeCell ref="D41:F41"/>
    <x:mergeCell ref="D42:F42"/>
    <x:mergeCell ref="D43:F43"/>
    <x:mergeCell ref="B46:F46"/>
    <x:mergeCell ref="D20:F20"/>
    <x:mergeCell ref="D21:F21"/>
    <x:mergeCell ref="D22:F22"/>
    <x:mergeCell ref="D31:F31"/>
    <x:mergeCell ref="D32:F32"/>
    <x:mergeCell ref="A70:H70"/>
    <x:mergeCell ref="A71:H71"/>
    <x:mergeCell ref="A51:A53"/>
    <x:mergeCell ref="A59:A61"/>
    <x:mergeCell ref="B62:F62"/>
    <x:mergeCell ref="A64:F64"/>
    <x:mergeCell ref="A69:F69"/>
    <x:mergeCell ref="A54:F54"/>
    <x:mergeCell ref="B36:F36"/>
    <x:mergeCell ref="B25:F25"/>
    <x:mergeCell ref="D33:F33"/>
    <x:mergeCell ref="A1:H1"/>
    <x:mergeCell ref="A7:H7"/>
  </x:mergeCells>
  <x:conditionalFormatting sqref="G25:G26 G36:G37 G46:G46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87ad06a4e5b241c9"/>
</x:worksheet>
</file>